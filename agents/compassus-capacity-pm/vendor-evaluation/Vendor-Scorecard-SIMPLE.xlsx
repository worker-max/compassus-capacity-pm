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corecard" sheetId="2" state="visible" r:id="rId2"/>
    <sheet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ptos Narrow"/>
      <b val="1"/>
      <color rgb="005A6560"/>
      <sz val="9"/>
    </font>
    <font>
      <name val="Aptos Narrow"/>
      <b val="1"/>
      <color rgb="001B211E"/>
      <sz val="20"/>
    </font>
    <font>
      <name val="Aptos Narrow"/>
      <i val="1"/>
      <color rgb="005A6560"/>
      <sz val="10"/>
    </font>
    <font>
      <name val="Aptos Narrow"/>
      <b val="1"/>
      <color rgb="00FFFFFF"/>
      <sz val="9"/>
    </font>
    <font>
      <name val="Aptos Narrow"/>
      <color rgb="001B211E"/>
      <sz val="10"/>
    </font>
    <font>
      <name val="Aptos Narrow"/>
      <b val="1"/>
      <color rgb="00C6A01F"/>
      <sz val="10"/>
    </font>
    <font>
      <name val="Aptos Narrow"/>
      <color rgb="005A6560"/>
      <sz val="9"/>
    </font>
    <font>
      <name val="Aptos Narrow"/>
      <i val="1"/>
      <color rgb="005A6560"/>
      <sz val="9"/>
    </font>
    <font>
      <name val="Aptos Narrow"/>
      <b val="1"/>
      <color rgb="001B211E"/>
      <sz val="18"/>
    </font>
    <font>
      <name val="Aptos Narrow"/>
      <b val="1"/>
      <color rgb="001B211E"/>
      <sz val="10"/>
    </font>
    <font>
      <name val="Aptos Narrow"/>
      <color rgb="001F6F78"/>
      <sz val="10"/>
    </font>
    <font>
      <name val="Aptos Narrow"/>
      <color rgb="002E599D"/>
      <sz val="10"/>
    </font>
    <font>
      <name val="Aptos Narrow"/>
      <color rgb="004E8A5B"/>
      <sz val="10"/>
    </font>
    <font>
      <name val="Aptos Narrow"/>
      <color rgb="008A7220"/>
      <sz val="9"/>
    </font>
    <font>
      <name val="Aptos Narrow"/>
      <color rgb="001B211E"/>
      <sz val="9"/>
    </font>
    <font>
      <name val="Aptos Narrow"/>
      <b val="1"/>
      <color rgb="00792E2E"/>
      <sz val="10"/>
    </font>
    <font>
      <name val="Aptos Narrow"/>
      <b val="1"/>
      <color rgb="00C6A01F"/>
      <sz val="9"/>
    </font>
    <font>
      <name val="Aptos Narrow"/>
      <b val="1"/>
      <color rgb="001B211E"/>
      <sz val="11"/>
    </font>
    <font>
      <name val="Aptos Narrow"/>
      <color rgb="005A6560"/>
      <sz val="10"/>
    </font>
  </fonts>
  <fills count="11">
    <fill>
      <patternFill/>
    </fill>
    <fill>
      <patternFill patternType="gray125"/>
    </fill>
    <fill>
      <patternFill patternType="solid">
        <fgColor rgb="001B211E"/>
      </patternFill>
    </fill>
    <fill>
      <patternFill patternType="solid">
        <fgColor rgb="00FBFBF8"/>
      </patternFill>
    </fill>
    <fill>
      <patternFill patternType="solid">
        <fgColor rgb="00FBF6E4"/>
      </patternFill>
    </fill>
    <fill>
      <patternFill patternType="solid">
        <fgColor rgb="00FFFDF4"/>
      </patternFill>
    </fill>
    <fill>
      <patternFill patternType="solid">
        <fgColor rgb="001F6F78"/>
      </patternFill>
    </fill>
    <fill>
      <patternFill patternType="solid">
        <fgColor rgb="002E599D"/>
      </patternFill>
    </fill>
    <fill>
      <patternFill patternType="solid">
        <fgColor rgb="004E8A5B"/>
      </patternFill>
    </fill>
    <fill>
      <patternFill patternType="solid">
        <fgColor rgb="00792E2E"/>
      </patternFill>
    </fill>
    <fill>
      <patternFill patternType="solid">
        <fgColor rgb="00E9E9E5"/>
      </patternFill>
    </fill>
  </fills>
  <borders count="3">
    <border>
      <left/>
      <right/>
      <top/>
      <bottom/>
      <diagonal/>
    </border>
    <border>
      <bottom style="medium">
        <color rgb="001B211E"/>
      </bottom>
    </border>
    <border>
      <left style="thin">
        <color rgb="00C9CCC5"/>
      </left>
      <right style="thin">
        <color rgb="00C9CCC5"/>
      </right>
      <top style="thin">
        <color rgb="00C9CCC5"/>
      </top>
      <bottom style="thin">
        <color rgb="00C9CCC5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top" wrapText="1"/>
    </xf>
    <xf numFmtId="0" fontId="8" fillId="0" borderId="0" pivotButton="0" quotePrefix="0" xfId="0"/>
    <xf numFmtId="0" fontId="9" fillId="0" borderId="0" pivotButton="0" quotePrefix="0" xfId="0"/>
    <xf numFmtId="0" fontId="8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bottom"/>
    </xf>
    <xf numFmtId="0" fontId="10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right" vertical="center"/>
    </xf>
    <xf numFmtId="0" fontId="17" fillId="10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9" fontId="18" fillId="10" borderId="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9" fontId="19" fillId="10" borderId="2" applyAlignment="1" pivotButton="0" quotePrefix="0" xfId="0">
      <alignment horizontal="center" vertical="center" wrapText="1"/>
    </xf>
    <xf numFmtId="1" fontId="18" fillId="10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1" fontId="11" fillId="10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1" fontId="12" fillId="10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10" borderId="2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center" wrapText="1"/>
    </xf>
    <xf numFmtId="0" fontId="14" fillId="4" borderId="0" applyAlignment="1" pivotButton="0" quotePrefix="0" xfId="0">
      <alignment horizontal="right" vertical="center"/>
    </xf>
    <xf numFmtId="0" fontId="15" fillId="5" borderId="2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indent="1"/>
    </xf>
    <xf numFmtId="0" fontId="4" fillId="8" borderId="0" applyAlignment="1" pivotButton="0" quotePrefix="0" xfId="0">
      <alignment horizontal="left" vertical="center" indent="1"/>
    </xf>
    <xf numFmtId="1" fontId="15" fillId="3" borderId="2" applyAlignment="1" pivotButton="0" quotePrefix="0" xfId="0">
      <alignment horizontal="center" vertical="center" wrapText="1"/>
    </xf>
    <xf numFmtId="0" fontId="4" fillId="9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top" wrapText="1"/>
    </xf>
    <xf numFmtId="0" fontId="15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6A01F"/>
    <outlinePr summaryBelow="1" summaryRight="1"/>
    <pageSetUpPr/>
  </sheetPr>
  <dimension ref="B2:D3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3" customWidth="1" min="3" max="3"/>
    <col width="104" customWidth="1" min="4" max="4"/>
  </cols>
  <sheetData>
    <row r="2">
      <c r="B2" s="1" t="inlineStr">
        <is>
          <t>COMPASSUS  ·  HOME HEALTH</t>
        </is>
      </c>
    </row>
    <row r="3" ht="32" customHeight="1">
      <c r="B3" s="2" t="inlineStr">
        <is>
          <t>Vendor Scorecard — Simple</t>
        </is>
      </c>
    </row>
    <row r="4">
      <c r="B4" s="3" t="inlineStr">
        <is>
          <t>The backup. Twelve rows a vendor, two marks each. Roughly three minutes per questionnaire.</t>
        </is>
      </c>
    </row>
    <row r="6" ht="10" customHeight="1"/>
    <row r="7" ht="22" customHeight="1">
      <c r="B7" s="4" t="inlineStr">
        <is>
          <t>WHAT THIS IS</t>
        </is>
      </c>
    </row>
    <row r="8" ht="28" customHeight="1">
      <c r="B8" s="5" t="inlineStr">
        <is>
          <t>The same judgement as the full scorecard, at a coarser grain. Instead of 41 elements and 12 questions, you mark the 11 areas the vendor already self-assessed in Section B of the questionnaire — plus HCHB integration.</t>
        </is>
      </c>
    </row>
    <row r="9" ht="28" customHeight="1">
      <c r="B9" s="5" t="inlineStr">
        <is>
          <t>Use it when you want a fast read across the field, when two people need to compare quickly, or when the full sheet is more precision than a decision needs. Use the full scorecard when the shortlist is close and you have to defend the order.</t>
        </is>
      </c>
    </row>
    <row r="10" ht="10" customHeight="1"/>
    <row r="11" ht="22" customHeight="1">
      <c r="B11" s="4" t="inlineStr">
        <is>
          <t>THE TWO MARKS</t>
        </is>
      </c>
    </row>
    <row r="12" ht="36" customHeight="1">
      <c r="B12" s="5" t="inlineStr">
        <is>
          <t>Status</t>
        </is>
      </c>
      <c r="C12" s="6" t="inlineStr">
        <is>
          <t>grid 1</t>
        </is>
      </c>
      <c r="D12" s="7" t="inlineStr">
        <is>
          <t>WHAT THEY HAVE. Copy it from their own Section B answer — it uses the same words. Where Section C contradicts Section B, believe Section C.</t>
        </is>
      </c>
    </row>
    <row r="13" ht="36" customHeight="1">
      <c r="B13" s="5" t="inlineStr">
        <is>
          <t>Rating  0–100</t>
        </is>
      </c>
      <c r="C13" s="6" t="inlineStr">
        <is>
          <t>grid 2</t>
        </is>
      </c>
      <c r="D13" s="7" t="inlineStr">
        <is>
          <t>HOW MUCH OF THE WORK IT DOES. Rate the product, not the write-up — a short answer describing an optimiser still rates high. Blank where the status is Not available.</t>
        </is>
      </c>
    </row>
    <row r="14" ht="24" customHeight="1">
      <c r="B14" s="5" t="inlineStr">
        <is>
          <t>Notes</t>
        </is>
      </c>
      <c r="C14" s="6" t="inlineStr">
        <is>
          <t>grid 3</t>
        </is>
      </c>
      <c r="D14" s="7" t="inlineStr">
        <is>
          <t>One line. What decides this vendor, or what you could not tell.</t>
        </is>
      </c>
    </row>
    <row r="15" ht="10" customHeight="1"/>
    <row r="16" ht="22" customHeight="1">
      <c r="B16" s="4" t="inlineStr">
        <is>
          <t>RATING — WHAT THE NUMBERS MEAN</t>
        </is>
      </c>
    </row>
    <row r="17" ht="28" customHeight="1">
      <c r="B17" s="5" t="inlineStr">
        <is>
          <t>The same Read / Assist / Control idea as the functional scorecard. If you want to know how a product does something, that is a demo question — not a reason to mark it down.</t>
        </is>
      </c>
    </row>
    <row r="18" ht="24" customHeight="1">
      <c r="B18" s="5" t="inlineStr">
        <is>
          <t>90–100</t>
        </is>
      </c>
      <c r="C18" s="6" t="inlineStr">
        <is>
          <t>Runs it</t>
        </is>
      </c>
      <c r="D18" s="7" t="inlineStr">
        <is>
          <t>Decides across the whole picture, and re-decides when things change.</t>
        </is>
      </c>
    </row>
    <row r="19" ht="24" customHeight="1">
      <c r="B19" s="5" t="inlineStr">
        <is>
          <t>70–89</t>
        </is>
      </c>
      <c r="C19" s="6" t="inlineStr">
        <is>
          <t>Recommends it</t>
        </is>
      </c>
      <c r="D19" s="7" t="inlineStr">
        <is>
          <t>Works out the answer and proposes it. A person confirms.</t>
        </is>
      </c>
    </row>
    <row r="20" ht="24" customHeight="1">
      <c r="B20" s="5" t="inlineStr">
        <is>
          <t>50–69</t>
        </is>
      </c>
      <c r="C20" s="6" t="inlineStr">
        <is>
          <t>Checks it</t>
        </is>
      </c>
      <c r="D20" s="7" t="inlineStr">
        <is>
          <t>Applies rules and flags problems. A person still does the work.</t>
        </is>
      </c>
    </row>
    <row r="21" ht="24" customHeight="1">
      <c r="B21" s="5" t="inlineStr">
        <is>
          <t>25–49</t>
        </is>
      </c>
      <c r="C21" s="6" t="inlineStr">
        <is>
          <t>Shows it</t>
        </is>
      </c>
      <c r="D21" s="7" t="inlineStr">
        <is>
          <t>Surfaces the information. A person does everything.</t>
        </is>
      </c>
    </row>
    <row r="22" ht="24" customHeight="1">
      <c r="B22" s="5" t="inlineStr">
        <is>
          <t>1–24</t>
        </is>
      </c>
      <c r="C22" s="6" t="inlineStr">
        <is>
          <t>Barely touches it</t>
        </is>
      </c>
      <c r="D22" s="7" t="inlineStr">
        <is>
          <t>Adjacent, or a fragment of what we asked for.</t>
        </is>
      </c>
    </row>
    <row r="23" ht="24" customHeight="1">
      <c r="B23" s="5" t="inlineStr">
        <is>
          <t>blank</t>
        </is>
      </c>
      <c r="C23" s="6" t="inlineStr">
        <is>
          <t>Not available</t>
        </is>
      </c>
      <c r="D23" s="7" t="inlineStr">
        <is>
          <t>Leave the rating empty. Status carries it.</t>
        </is>
      </c>
    </row>
    <row r="24" ht="10" customHeight="1"/>
    <row r="25" ht="22" customHeight="1">
      <c r="B25" s="4" t="inlineStr">
        <is>
          <t>WHAT THE SHEET WORKS OUT</t>
        </is>
      </c>
    </row>
    <row r="26" ht="36" customHeight="1">
      <c r="B26" s="5" t="inlineStr">
        <is>
          <t>Footprint %</t>
        </is>
      </c>
      <c r="C26" s="6" t="inlineStr"/>
      <c r="D26" s="7" t="inlineStr">
        <is>
          <t>How many of the 11 areas the product reaches at all — any status except Not available. How much of what we care about it even touches.</t>
        </is>
      </c>
    </row>
    <row r="27" ht="24" customHeight="1">
      <c r="B27" s="5" t="inlineStr">
        <is>
          <t>In production %</t>
        </is>
      </c>
      <c r="C27" s="6" t="inlineStr"/>
      <c r="D27" s="7" t="inlineStr">
        <is>
          <t>How many of those 11 are live with customers today, rather than promised.</t>
        </is>
      </c>
    </row>
    <row r="28" ht="24" customHeight="1">
      <c r="B28" s="5" t="inlineStr">
        <is>
          <t>Average rating</t>
        </is>
      </c>
      <c r="C28" s="6" t="inlineStr"/>
      <c r="D28" s="7" t="inlineStr">
        <is>
          <t>Across the areas they reach. Blank areas do not drag it down — Footprint already carries that.</t>
        </is>
      </c>
    </row>
    <row r="29" ht="24" customHeight="1">
      <c r="B29" s="5" t="inlineStr">
        <is>
          <t>Per-arena rating</t>
        </is>
      </c>
      <c r="C29" s="6" t="inlineStr"/>
      <c r="D29" s="7" t="inlineStr">
        <is>
          <t>Capacity, Scheduling and Engagement separately. Which arena a vendor owns tells us more than the average does.</t>
        </is>
      </c>
    </row>
    <row r="30" ht="10" customHeight="1"/>
    <row r="31" ht="22" customHeight="1">
      <c r="B31" s="4" t="inlineStr">
        <is>
          <t>HOW TO READ IT</t>
        </is>
      </c>
    </row>
    <row r="32" ht="41" customHeight="1">
      <c r="B32" s="5" t="inlineStr">
        <is>
          <t>Footprint and rating answer different questions, and a vendor can be strong on one and weak on the other. High footprint with a low rating is a product that touches everything shallowly. Low footprint with a high rating is a specialist — often the more interesting conversation, and worth a differentiator note rather than a dismissal.</t>
        </is>
      </c>
    </row>
    <row r="33" ht="28" customHeight="1">
      <c r="B33" s="5" t="inlineStr">
        <is>
          <t>HCHB sits at the top of the grid on its own, because it is the one thing leadership named as a priority. A vendor with no HCHB path is a conditional advance whatever else they score: advancing them means accepting an integration still to be built, on their timeline, at our risk.</t>
        </is>
      </c>
    </row>
    <row r="34" ht="10" customHeight="1"/>
    <row r="35" ht="22" customHeight="1">
      <c r="B35" s="4" t="inlineStr">
        <is>
          <t>WHAT THIS CANNOT DO</t>
        </is>
      </c>
    </row>
    <row r="36" ht="41" customHeight="1">
      <c r="B36" s="5" t="inlineStr">
        <is>
          <t>It cannot separate two vendors who both cover an area but do it very differently — that is exactly what the full scorecard's 41 elements and five sophistication questions are for. It has no partnership or clinician-adoption score, so Section D and Section E do not reach the number at all; read them and put what matters in Notes. And like the full sheet, it scores a questionnaire, not a product.</t>
        </is>
      </c>
    </row>
    <row r="38">
      <c r="B38" s="8" t="inlineStr">
        <is>
          <t>Backup scorecard v1.0  ·  areas per questionnaire Section B, form_version 2026-08-19</t>
        </is>
      </c>
    </row>
  </sheetData>
  <mergeCells count="13">
    <mergeCell ref="B33:D33"/>
    <mergeCell ref="B11:D11"/>
    <mergeCell ref="B36:D36"/>
    <mergeCell ref="B31:D31"/>
    <mergeCell ref="B8:D8"/>
    <mergeCell ref="B32:D32"/>
    <mergeCell ref="B4:D4"/>
    <mergeCell ref="B35:D35"/>
    <mergeCell ref="B17:D17"/>
    <mergeCell ref="B9:D9"/>
    <mergeCell ref="B7:D7"/>
    <mergeCell ref="B25:D25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211E"/>
    <outlinePr summaryBelow="1" summaryRight="1"/>
    <pageSetUpPr/>
  </sheetPr>
  <dimension ref="B2:S53"/>
  <sheetViews>
    <sheetView showGridLines="0" zoomScale="9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5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2">
      <c r="B2" s="1" t="inlineStr">
        <is>
          <t>COMPASSUS  ·  HOME HEALTH</t>
        </is>
      </c>
    </row>
    <row r="3" ht="26" customHeight="1">
      <c r="B3" s="9" t="inlineStr">
        <is>
          <t>Vendor Scorecard — Simple</t>
        </is>
      </c>
    </row>
    <row r="4">
      <c r="B4" s="10" t="inlineStr">
        <is>
          <t>Grid 1 is what they have · grid 2 is how good it is · grid 3 is why. Everything above the grids is a formula.</t>
        </is>
      </c>
    </row>
    <row r="6" ht="42" customHeight="1">
      <c r="B6" s="11" t="inlineStr">
        <is>
          <t>VENDOR</t>
        </is>
      </c>
      <c r="D6" s="12" t="inlineStr">
        <is>
          <t>Vendor 01</t>
        </is>
      </c>
      <c r="E6" s="12" t="inlineStr">
        <is>
          <t>Vendor 02</t>
        </is>
      </c>
      <c r="F6" s="12" t="inlineStr">
        <is>
          <t>Vendor 03</t>
        </is>
      </c>
      <c r="G6" s="12" t="inlineStr">
        <is>
          <t>Vendor 04</t>
        </is>
      </c>
      <c r="H6" s="12" t="inlineStr">
        <is>
          <t>Vendor 05</t>
        </is>
      </c>
      <c r="I6" s="12" t="inlineStr">
        <is>
          <t>Vendor 06</t>
        </is>
      </c>
      <c r="J6" s="12" t="inlineStr">
        <is>
          <t>Vendor 07</t>
        </is>
      </c>
      <c r="K6" s="12" t="inlineStr">
        <is>
          <t>Vendor 08</t>
        </is>
      </c>
      <c r="L6" s="12" t="inlineStr">
        <is>
          <t>Vendor 09</t>
        </is>
      </c>
      <c r="M6" s="12" t="inlineStr">
        <is>
          <t>Vendor 10</t>
        </is>
      </c>
      <c r="N6" s="12" t="inlineStr">
        <is>
          <t>Vendor 11</t>
        </is>
      </c>
      <c r="O6" s="12" t="inlineStr">
        <is>
          <t>Vendor 12</t>
        </is>
      </c>
      <c r="P6" s="12" t="inlineStr">
        <is>
          <t>Vendor 13</t>
        </is>
      </c>
      <c r="Q6" s="12" t="inlineStr">
        <is>
          <t>Vendor 14</t>
        </is>
      </c>
      <c r="R6" s="12" t="inlineStr">
        <is>
          <t>Vendor 15</t>
        </is>
      </c>
      <c r="S6" s="12" t="inlineStr">
        <is>
          <t>Vendor 16</t>
        </is>
      </c>
    </row>
    <row r="8" ht="21" customHeight="1">
      <c r="B8" s="4" t="inlineStr">
        <is>
          <t>SUMMARY</t>
        </is>
      </c>
    </row>
    <row r="9" ht="19" customHeight="1">
      <c r="B9" s="13" t="inlineStr">
        <is>
          <t>HCHB integration</t>
        </is>
      </c>
      <c r="C9" s="14" t="inlineStr">
        <is>
          <t>the priority</t>
        </is>
      </c>
      <c r="D9" s="15">
        <f>IF(D18="","—",D18)</f>
        <v/>
      </c>
      <c r="E9" s="15">
        <f>IF(E18="","—",E18)</f>
        <v/>
      </c>
      <c r="F9" s="15">
        <f>IF(F18="","—",F18)</f>
        <v/>
      </c>
      <c r="G9" s="15">
        <f>IF(G18="","—",G18)</f>
        <v/>
      </c>
      <c r="H9" s="15">
        <f>IF(H18="","—",H18)</f>
        <v/>
      </c>
      <c r="I9" s="15">
        <f>IF(I18="","—",I18)</f>
        <v/>
      </c>
      <c r="J9" s="15">
        <f>IF(J18="","—",J18)</f>
        <v/>
      </c>
      <c r="K9" s="15">
        <f>IF(K18="","—",K18)</f>
        <v/>
      </c>
      <c r="L9" s="15">
        <f>IF(L18="","—",L18)</f>
        <v/>
      </c>
      <c r="M9" s="15">
        <f>IF(M18="","—",M18)</f>
        <v/>
      </c>
      <c r="N9" s="15">
        <f>IF(N18="","—",N18)</f>
        <v/>
      </c>
      <c r="O9" s="15">
        <f>IF(O18="","—",O18)</f>
        <v/>
      </c>
      <c r="P9" s="15">
        <f>IF(P18="","—",P18)</f>
        <v/>
      </c>
      <c r="Q9" s="15">
        <f>IF(Q18="","—",Q18)</f>
        <v/>
      </c>
      <c r="R9" s="15">
        <f>IF(R18="","—",R18)</f>
        <v/>
      </c>
      <c r="S9" s="15">
        <f>IF(S18="","—",S18)</f>
        <v/>
      </c>
    </row>
    <row r="10" ht="19" customHeight="1">
      <c r="B10" s="16" t="inlineStr">
        <is>
          <t>Footprint %</t>
        </is>
      </c>
      <c r="C10" s="14" t="inlineStr">
        <is>
          <t>of the 11 areas, reached at all</t>
        </is>
      </c>
      <c r="D10" s="17">
        <f>(IF(OR(D20={"Production — multiple customers","Production — one customer","Through a partner","In development — dated","Roadmap — no date"}),1,0)+IF(OR(D21={"Production — multiple customers","Production — one customer","Through a partner","In development — dated","Roadmap — no date"}),1,0)+IF(OR(D22={"Production — multiple customers","Production — one customer","Through a partner","In development — dated","Roadmap — no date"}),1,0)+IF(OR(D24={"Production — multiple customers","Production — one customer","Through a partner","In development — dated","Roadmap — no date"}),1,0)+IF(OR(D25={"Production — multiple customers","Production — one customer","Through a partner","In development — dated","Roadmap — no date"}),1,0)+IF(OR(D26={"Production — multiple customers","Production — one customer","Through a partner","In development — dated","Roadmap — no date"}),1,0)+IF(OR(D27={"Production — multiple customers","Production — one customer","Through a partner","In development — dated","Roadmap — no date"}),1,0)+IF(OR(D29={"Production — multiple customers","Production — one customer","Through a partner","In development — dated","Roadmap — no date"}),1,0)+IF(OR(D30={"Production — multiple customers","Production — one customer","Through a partner","In development — dated","Roadmap — no date"}),1,0)+IF(OR(D31={"Production — multiple customers","Production — one customer","Through a partner","In development — dated","Roadmap — no date"}),1,0)+IF(OR(D32={"Production — multiple customers","Production — one customer","Through a partner","In development — dated","Roadmap — no date"}),1,0))/11</f>
        <v/>
      </c>
      <c r="E10" s="17">
        <f>(IF(OR(E20={"Production — multiple customers","Production — one customer","Through a partner","In development — dated","Roadmap — no date"}),1,0)+IF(OR(E21={"Production — multiple customers","Production — one customer","Through a partner","In development — dated","Roadmap — no date"}),1,0)+IF(OR(E22={"Production — multiple customers","Production — one customer","Through a partner","In development — dated","Roadmap — no date"}),1,0)+IF(OR(E24={"Production — multiple customers","Production — one customer","Through a partner","In development — dated","Roadmap — no date"}),1,0)+IF(OR(E25={"Production — multiple customers","Production — one customer","Through a partner","In development — dated","Roadmap — no date"}),1,0)+IF(OR(E26={"Production — multiple customers","Production — one customer","Through a partner","In development — dated","Roadmap — no date"}),1,0)+IF(OR(E27={"Production — multiple customers","Production — one customer","Through a partner","In development — dated","Roadmap — no date"}),1,0)+IF(OR(E29={"Production — multiple customers","Production — one customer","Through a partner","In development — dated","Roadmap — no date"}),1,0)+IF(OR(E30={"Production — multiple customers","Production — one customer","Through a partner","In development — dated","Roadmap — no date"}),1,0)+IF(OR(E31={"Production — multiple customers","Production — one customer","Through a partner","In development — dated","Roadmap — no date"}),1,0)+IF(OR(E32={"Production — multiple customers","Production — one customer","Through a partner","In development — dated","Roadmap — no date"}),1,0))/11</f>
        <v/>
      </c>
      <c r="F10" s="17">
        <f>(IF(OR(F20={"Production — multiple customers","Production — one customer","Through a partner","In development — dated","Roadmap — no date"}),1,0)+IF(OR(F21={"Production — multiple customers","Production — one customer","Through a partner","In development — dated","Roadmap — no date"}),1,0)+IF(OR(F22={"Production — multiple customers","Production — one customer","Through a partner","In development — dated","Roadmap — no date"}),1,0)+IF(OR(F24={"Production — multiple customers","Production — one customer","Through a partner","In development — dated","Roadmap — no date"}),1,0)+IF(OR(F25={"Production — multiple customers","Production — one customer","Through a partner","In development — dated","Roadmap — no date"}),1,0)+IF(OR(F26={"Production — multiple customers","Production — one customer","Through a partner","In development — dated","Roadmap — no date"}),1,0)+IF(OR(F27={"Production — multiple customers","Production — one customer","Through a partner","In development — dated","Roadmap — no date"}),1,0)+IF(OR(F29={"Production — multiple customers","Production — one customer","Through a partner","In development — dated","Roadmap — no date"}),1,0)+IF(OR(F30={"Production — multiple customers","Production — one customer","Through a partner","In development — dated","Roadmap — no date"}),1,0)+IF(OR(F31={"Production — multiple customers","Production — one customer","Through a partner","In development — dated","Roadmap — no date"}),1,0)+IF(OR(F32={"Production — multiple customers","Production — one customer","Through a partner","In development — dated","Roadmap — no date"}),1,0))/11</f>
        <v/>
      </c>
      <c r="G10" s="17">
        <f>(IF(OR(G20={"Production — multiple customers","Production — one customer","Through a partner","In development — dated","Roadmap — no date"}),1,0)+IF(OR(G21={"Production — multiple customers","Production — one customer","Through a partner","In development — dated","Roadmap — no date"}),1,0)+IF(OR(G22={"Production — multiple customers","Production — one customer","Through a partner","In development — dated","Roadmap — no date"}),1,0)+IF(OR(G24={"Production — multiple customers","Production — one customer","Through a partner","In development — dated","Roadmap — no date"}),1,0)+IF(OR(G25={"Production — multiple customers","Production — one customer","Through a partner","In development — dated","Roadmap — no date"}),1,0)+IF(OR(G26={"Production — multiple customers","Production — one customer","Through a partner","In development — dated","Roadmap — no date"}),1,0)+IF(OR(G27={"Production — multiple customers","Production — one customer","Through a partner","In development — dated","Roadmap — no date"}),1,0)+IF(OR(G29={"Production — multiple customers","Production — one customer","Through a partner","In development — dated","Roadmap — no date"}),1,0)+IF(OR(G30={"Production — multiple customers","Production — one customer","Through a partner","In development — dated","Roadmap — no date"}),1,0)+IF(OR(G31={"Production — multiple customers","Production — one customer","Through a partner","In development — dated","Roadmap — no date"}),1,0)+IF(OR(G32={"Production — multiple customers","Production — one customer","Through a partner","In development — dated","Roadmap — no date"}),1,0))/11</f>
        <v/>
      </c>
      <c r="H10" s="17">
        <f>(IF(OR(H20={"Production — multiple customers","Production — one customer","Through a partner","In development — dated","Roadmap — no date"}),1,0)+IF(OR(H21={"Production — multiple customers","Production — one customer","Through a partner","In development — dated","Roadmap — no date"}),1,0)+IF(OR(H22={"Production — multiple customers","Production — one customer","Through a partner","In development — dated","Roadmap — no date"}),1,0)+IF(OR(H24={"Production — multiple customers","Production — one customer","Through a partner","In development — dated","Roadmap — no date"}),1,0)+IF(OR(H25={"Production — multiple customers","Production — one customer","Through a partner","In development — dated","Roadmap — no date"}),1,0)+IF(OR(H26={"Production — multiple customers","Production — one customer","Through a partner","In development — dated","Roadmap — no date"}),1,0)+IF(OR(H27={"Production — multiple customers","Production — one customer","Through a partner","In development — dated","Roadmap — no date"}),1,0)+IF(OR(H29={"Production — multiple customers","Production — one customer","Through a partner","In development — dated","Roadmap — no date"}),1,0)+IF(OR(H30={"Production — multiple customers","Production — one customer","Through a partner","In development — dated","Roadmap — no date"}),1,0)+IF(OR(H31={"Production — multiple customers","Production — one customer","Through a partner","In development — dated","Roadmap — no date"}),1,0)+IF(OR(H32={"Production — multiple customers","Production — one customer","Through a partner","In development — dated","Roadmap — no date"}),1,0))/11</f>
        <v/>
      </c>
      <c r="I10" s="17">
        <f>(IF(OR(I20={"Production — multiple customers","Production — one customer","Through a partner","In development — dated","Roadmap — no date"}),1,0)+IF(OR(I21={"Production — multiple customers","Production — one customer","Through a partner","In development — dated","Roadmap — no date"}),1,0)+IF(OR(I22={"Production — multiple customers","Production — one customer","Through a partner","In development — dated","Roadmap — no date"}),1,0)+IF(OR(I24={"Production — multiple customers","Production — one customer","Through a partner","In development — dated","Roadmap — no date"}),1,0)+IF(OR(I25={"Production — multiple customers","Production — one customer","Through a partner","In development — dated","Roadmap — no date"}),1,0)+IF(OR(I26={"Production — multiple customers","Production — one customer","Through a partner","In development — dated","Roadmap — no date"}),1,0)+IF(OR(I27={"Production — multiple customers","Production — one customer","Through a partner","In development — dated","Roadmap — no date"}),1,0)+IF(OR(I29={"Production — multiple customers","Production — one customer","Through a partner","In development — dated","Roadmap — no date"}),1,0)+IF(OR(I30={"Production — multiple customers","Production — one customer","Through a partner","In development — dated","Roadmap — no date"}),1,0)+IF(OR(I31={"Production — multiple customers","Production — one customer","Through a partner","In development — dated","Roadmap — no date"}),1,0)+IF(OR(I32={"Production — multiple customers","Production — one customer","Through a partner","In development — dated","Roadmap — no date"}),1,0))/11</f>
        <v/>
      </c>
      <c r="J10" s="17">
        <f>(IF(OR(J20={"Production — multiple customers","Production — one customer","Through a partner","In development — dated","Roadmap — no date"}),1,0)+IF(OR(J21={"Production — multiple customers","Production — one customer","Through a partner","In development — dated","Roadmap — no date"}),1,0)+IF(OR(J22={"Production — multiple customers","Production — one customer","Through a partner","In development — dated","Roadmap — no date"}),1,0)+IF(OR(J24={"Production — multiple customers","Production — one customer","Through a partner","In development — dated","Roadmap — no date"}),1,0)+IF(OR(J25={"Production — multiple customers","Production — one customer","Through a partner","In development — dated","Roadmap — no date"}),1,0)+IF(OR(J26={"Production — multiple customers","Production — one customer","Through a partner","In development — dated","Roadmap — no date"}),1,0)+IF(OR(J27={"Production — multiple customers","Production — one customer","Through a partner","In development — dated","Roadmap — no date"}),1,0)+IF(OR(J29={"Production — multiple customers","Production — one customer","Through a partner","In development — dated","Roadmap — no date"}),1,0)+IF(OR(J30={"Production — multiple customers","Production — one customer","Through a partner","In development — dated","Roadmap — no date"}),1,0)+IF(OR(J31={"Production — multiple customers","Production — one customer","Through a partner","In development — dated","Roadmap — no date"}),1,0)+IF(OR(J32={"Production — multiple customers","Production — one customer","Through a partner","In development — dated","Roadmap — no date"}),1,0))/11</f>
        <v/>
      </c>
      <c r="K10" s="17">
        <f>(IF(OR(K20={"Production — multiple customers","Production — one customer","Through a partner","In development — dated","Roadmap — no date"}),1,0)+IF(OR(K21={"Production — multiple customers","Production — one customer","Through a partner","In development — dated","Roadmap — no date"}),1,0)+IF(OR(K22={"Production — multiple customers","Production — one customer","Through a partner","In development — dated","Roadmap — no date"}),1,0)+IF(OR(K24={"Production — multiple customers","Production — one customer","Through a partner","In development — dated","Roadmap — no date"}),1,0)+IF(OR(K25={"Production — multiple customers","Production — one customer","Through a partner","In development — dated","Roadmap — no date"}),1,0)+IF(OR(K26={"Production — multiple customers","Production — one customer","Through a partner","In development — dated","Roadmap — no date"}),1,0)+IF(OR(K27={"Production — multiple customers","Production — one customer","Through a partner","In development — dated","Roadmap — no date"}),1,0)+IF(OR(K29={"Production — multiple customers","Production — one customer","Through a partner","In development — dated","Roadmap — no date"}),1,0)+IF(OR(K30={"Production — multiple customers","Production — one customer","Through a partner","In development — dated","Roadmap — no date"}),1,0)+IF(OR(K31={"Production — multiple customers","Production — one customer","Through a partner","In development — dated","Roadmap — no date"}),1,0)+IF(OR(K32={"Production — multiple customers","Production — one customer","Through a partner","In development — dated","Roadmap — no date"}),1,0))/11</f>
        <v/>
      </c>
      <c r="L10" s="17">
        <f>(IF(OR(L20={"Production — multiple customers","Production — one customer","Through a partner","In development — dated","Roadmap — no date"}),1,0)+IF(OR(L21={"Production — multiple customers","Production — one customer","Through a partner","In development — dated","Roadmap — no date"}),1,0)+IF(OR(L22={"Production — multiple customers","Production — one customer","Through a partner","In development — dated","Roadmap — no date"}),1,0)+IF(OR(L24={"Production — multiple customers","Production — one customer","Through a partner","In development — dated","Roadmap — no date"}),1,0)+IF(OR(L25={"Production — multiple customers","Production — one customer","Through a partner","In development — dated","Roadmap — no date"}),1,0)+IF(OR(L26={"Production — multiple customers","Production — one customer","Through a partner","In development — dated","Roadmap — no date"}),1,0)+IF(OR(L27={"Production — multiple customers","Production — one customer","Through a partner","In development — dated","Roadmap — no date"}),1,0)+IF(OR(L29={"Production — multiple customers","Production — one customer","Through a partner","In development — dated","Roadmap — no date"}),1,0)+IF(OR(L30={"Production — multiple customers","Production — one customer","Through a partner","In development — dated","Roadmap — no date"}),1,0)+IF(OR(L31={"Production — multiple customers","Production — one customer","Through a partner","In development — dated","Roadmap — no date"}),1,0)+IF(OR(L32={"Production — multiple customers","Production — one customer","Through a partner","In development — dated","Roadmap — no date"}),1,0))/11</f>
        <v/>
      </c>
      <c r="M10" s="17">
        <f>(IF(OR(M20={"Production — multiple customers","Production — one customer","Through a partner","In development — dated","Roadmap — no date"}),1,0)+IF(OR(M21={"Production — multiple customers","Production — one customer","Through a partner","In development — dated","Roadmap — no date"}),1,0)+IF(OR(M22={"Production — multiple customers","Production — one customer","Through a partner","In development — dated","Roadmap — no date"}),1,0)+IF(OR(M24={"Production — multiple customers","Production — one customer","Through a partner","In development — dated","Roadmap — no date"}),1,0)+IF(OR(M25={"Production — multiple customers","Production — one customer","Through a partner","In development — dated","Roadmap — no date"}),1,0)+IF(OR(M26={"Production — multiple customers","Production — one customer","Through a partner","In development — dated","Roadmap — no date"}),1,0)+IF(OR(M27={"Production — multiple customers","Production — one customer","Through a partner","In development — dated","Roadmap — no date"}),1,0)+IF(OR(M29={"Production — multiple customers","Production — one customer","Through a partner","In development — dated","Roadmap — no date"}),1,0)+IF(OR(M30={"Production — multiple customers","Production — one customer","Through a partner","In development — dated","Roadmap — no date"}),1,0)+IF(OR(M31={"Production — multiple customers","Production — one customer","Through a partner","In development — dated","Roadmap — no date"}),1,0)+IF(OR(M32={"Production — multiple customers","Production — one customer","Through a partner","In development — dated","Roadmap — no date"}),1,0))/11</f>
        <v/>
      </c>
      <c r="N10" s="17">
        <f>(IF(OR(N20={"Production — multiple customers","Production — one customer","Through a partner","In development — dated","Roadmap — no date"}),1,0)+IF(OR(N21={"Production — multiple customers","Production — one customer","Through a partner","In development — dated","Roadmap — no date"}),1,0)+IF(OR(N22={"Production — multiple customers","Production — one customer","Through a partner","In development — dated","Roadmap — no date"}),1,0)+IF(OR(N24={"Production — multiple customers","Production — one customer","Through a partner","In development — dated","Roadmap — no date"}),1,0)+IF(OR(N25={"Production — multiple customers","Production — one customer","Through a partner","In development — dated","Roadmap — no date"}),1,0)+IF(OR(N26={"Production — multiple customers","Production — one customer","Through a partner","In development — dated","Roadmap — no date"}),1,0)+IF(OR(N27={"Production — multiple customers","Production — one customer","Through a partner","In development — dated","Roadmap — no date"}),1,0)+IF(OR(N29={"Production — multiple customers","Production — one customer","Through a partner","In development — dated","Roadmap — no date"}),1,0)+IF(OR(N30={"Production — multiple customers","Production — one customer","Through a partner","In development — dated","Roadmap — no date"}),1,0)+IF(OR(N31={"Production — multiple customers","Production — one customer","Through a partner","In development — dated","Roadmap — no date"}),1,0)+IF(OR(N32={"Production — multiple customers","Production — one customer","Through a partner","In development — dated","Roadmap — no date"}),1,0))/11</f>
        <v/>
      </c>
      <c r="O10" s="17">
        <f>(IF(OR(O20={"Production — multiple customers","Production — one customer","Through a partner","In development — dated","Roadmap — no date"}),1,0)+IF(OR(O21={"Production — multiple customers","Production — one customer","Through a partner","In development — dated","Roadmap — no date"}),1,0)+IF(OR(O22={"Production — multiple customers","Production — one customer","Through a partner","In development — dated","Roadmap — no date"}),1,0)+IF(OR(O24={"Production — multiple customers","Production — one customer","Through a partner","In development — dated","Roadmap — no date"}),1,0)+IF(OR(O25={"Production — multiple customers","Production — one customer","Through a partner","In development — dated","Roadmap — no date"}),1,0)+IF(OR(O26={"Production — multiple customers","Production — one customer","Through a partner","In development — dated","Roadmap — no date"}),1,0)+IF(OR(O27={"Production — multiple customers","Production — one customer","Through a partner","In development — dated","Roadmap — no date"}),1,0)+IF(OR(O29={"Production — multiple customers","Production — one customer","Through a partner","In development — dated","Roadmap — no date"}),1,0)+IF(OR(O30={"Production — multiple customers","Production — one customer","Through a partner","In development — dated","Roadmap — no date"}),1,0)+IF(OR(O31={"Production — multiple customers","Production — one customer","Through a partner","In development — dated","Roadmap — no date"}),1,0)+IF(OR(O32={"Production — multiple customers","Production — one customer","Through a partner","In development — dated","Roadmap — no date"}),1,0))/11</f>
        <v/>
      </c>
      <c r="P10" s="17">
        <f>(IF(OR(P20={"Production — multiple customers","Production — one customer","Through a partner","In development — dated","Roadmap — no date"}),1,0)+IF(OR(P21={"Production — multiple customers","Production — one customer","Through a partner","In development — dated","Roadmap — no date"}),1,0)+IF(OR(P22={"Production — multiple customers","Production — one customer","Through a partner","In development — dated","Roadmap — no date"}),1,0)+IF(OR(P24={"Production — multiple customers","Production — one customer","Through a partner","In development — dated","Roadmap — no date"}),1,0)+IF(OR(P25={"Production — multiple customers","Production — one customer","Through a partner","In development — dated","Roadmap — no date"}),1,0)+IF(OR(P26={"Production — multiple customers","Production — one customer","Through a partner","In development — dated","Roadmap — no date"}),1,0)+IF(OR(P27={"Production — multiple customers","Production — one customer","Through a partner","In development — dated","Roadmap — no date"}),1,0)+IF(OR(P29={"Production — multiple customers","Production — one customer","Through a partner","In development — dated","Roadmap — no date"}),1,0)+IF(OR(P30={"Production — multiple customers","Production — one customer","Through a partner","In development — dated","Roadmap — no date"}),1,0)+IF(OR(P31={"Production — multiple customers","Production — one customer","Through a partner","In development — dated","Roadmap — no date"}),1,0)+IF(OR(P32={"Production — multiple customers","Production — one customer","Through a partner","In development — dated","Roadmap — no date"}),1,0))/11</f>
        <v/>
      </c>
      <c r="Q10" s="17">
        <f>(IF(OR(Q20={"Production — multiple customers","Production — one customer","Through a partner","In development — dated","Roadmap — no date"}),1,0)+IF(OR(Q21={"Production — multiple customers","Production — one customer","Through a partner","In development — dated","Roadmap — no date"}),1,0)+IF(OR(Q22={"Production — multiple customers","Production — one customer","Through a partner","In development — dated","Roadmap — no date"}),1,0)+IF(OR(Q24={"Production — multiple customers","Production — one customer","Through a partner","In development — dated","Roadmap — no date"}),1,0)+IF(OR(Q25={"Production — multiple customers","Production — one customer","Through a partner","In development — dated","Roadmap — no date"}),1,0)+IF(OR(Q26={"Production — multiple customers","Production — one customer","Through a partner","In development — dated","Roadmap — no date"}),1,0)+IF(OR(Q27={"Production — multiple customers","Production — one customer","Through a partner","In development — dated","Roadmap — no date"}),1,0)+IF(OR(Q29={"Production — multiple customers","Production — one customer","Through a partner","In development — dated","Roadmap — no date"}),1,0)+IF(OR(Q30={"Production — multiple customers","Production — one customer","Through a partner","In development — dated","Roadmap — no date"}),1,0)+IF(OR(Q31={"Production — multiple customers","Production — one customer","Through a partner","In development — dated","Roadmap — no date"}),1,0)+IF(OR(Q32={"Production — multiple customers","Production — one customer","Through a partner","In development — dated","Roadmap — no date"}),1,0))/11</f>
        <v/>
      </c>
      <c r="R10" s="17">
        <f>(IF(OR(R20={"Production — multiple customers","Production — one customer","Through a partner","In development — dated","Roadmap — no date"}),1,0)+IF(OR(R21={"Production — multiple customers","Production — one customer","Through a partner","In development — dated","Roadmap — no date"}),1,0)+IF(OR(R22={"Production — multiple customers","Production — one customer","Through a partner","In development — dated","Roadmap — no date"}),1,0)+IF(OR(R24={"Production — multiple customers","Production — one customer","Through a partner","In development — dated","Roadmap — no date"}),1,0)+IF(OR(R25={"Production — multiple customers","Production — one customer","Through a partner","In development — dated","Roadmap — no date"}),1,0)+IF(OR(R26={"Production — multiple customers","Production — one customer","Through a partner","In development — dated","Roadmap — no date"}),1,0)+IF(OR(R27={"Production — multiple customers","Production — one customer","Through a partner","In development — dated","Roadmap — no date"}),1,0)+IF(OR(R29={"Production — multiple customers","Production — one customer","Through a partner","In development — dated","Roadmap — no date"}),1,0)+IF(OR(R30={"Production — multiple customers","Production — one customer","Through a partner","In development — dated","Roadmap — no date"}),1,0)+IF(OR(R31={"Production — multiple customers","Production — one customer","Through a partner","In development — dated","Roadmap — no date"}),1,0)+IF(OR(R32={"Production — multiple customers","Production — one customer","Through a partner","In development — dated","Roadmap — no date"}),1,0))/11</f>
        <v/>
      </c>
      <c r="S10" s="17">
        <f>(IF(OR(S20={"Production — multiple customers","Production — one customer","Through a partner","In development — dated","Roadmap — no date"}),1,0)+IF(OR(S21={"Production — multiple customers","Production — one customer","Through a partner","In development — dated","Roadmap — no date"}),1,0)+IF(OR(S22={"Production — multiple customers","Production — one customer","Through a partner","In development — dated","Roadmap — no date"}),1,0)+IF(OR(S24={"Production — multiple customers","Production — one customer","Through a partner","In development — dated","Roadmap — no date"}),1,0)+IF(OR(S25={"Production — multiple customers","Production — one customer","Through a partner","In development — dated","Roadmap — no date"}),1,0)+IF(OR(S26={"Production — multiple customers","Production — one customer","Through a partner","In development — dated","Roadmap — no date"}),1,0)+IF(OR(S27={"Production — multiple customers","Production — one customer","Through a partner","In development — dated","Roadmap — no date"}),1,0)+IF(OR(S29={"Production — multiple customers","Production — one customer","Through a partner","In development — dated","Roadmap — no date"}),1,0)+IF(OR(S30={"Production — multiple customers","Production — one customer","Through a partner","In development — dated","Roadmap — no date"}),1,0)+IF(OR(S31={"Production — multiple customers","Production — one customer","Through a partner","In development — dated","Roadmap — no date"}),1,0)+IF(OR(S32={"Production — multiple customers","Production — one customer","Through a partner","In development — dated","Roadmap — no date"}),1,0))/11</f>
        <v/>
      </c>
    </row>
    <row r="11" ht="19" customHeight="1">
      <c r="B11" s="18" t="inlineStr">
        <is>
          <t>In production %</t>
        </is>
      </c>
      <c r="C11" s="14" t="inlineStr">
        <is>
          <t>live with customers today</t>
        </is>
      </c>
      <c r="D11" s="19">
        <f>(IF(OR(D20={"Production — multiple customers","Production — one customer"}),1,0)+IF(OR(D21={"Production — multiple customers","Production — one customer"}),1,0)+IF(OR(D22={"Production — multiple customers","Production — one customer"}),1,0)+IF(OR(D24={"Production — multiple customers","Production — one customer"}),1,0)+IF(OR(D25={"Production — multiple customers","Production — one customer"}),1,0)+IF(OR(D26={"Production — multiple customers","Production — one customer"}),1,0)+IF(OR(D27={"Production — multiple customers","Production — one customer"}),1,0)+IF(OR(D29={"Production — multiple customers","Production — one customer"}),1,0)+IF(OR(D30={"Production — multiple customers","Production — one customer"}),1,0)+IF(OR(D31={"Production — multiple customers","Production — one customer"}),1,0)+IF(OR(D32={"Production — multiple customers","Production — one customer"}),1,0))/11</f>
        <v/>
      </c>
      <c r="E11" s="19">
        <f>(IF(OR(E20={"Production — multiple customers","Production — one customer"}),1,0)+IF(OR(E21={"Production — multiple customers","Production — one customer"}),1,0)+IF(OR(E22={"Production — multiple customers","Production — one customer"}),1,0)+IF(OR(E24={"Production — multiple customers","Production — one customer"}),1,0)+IF(OR(E25={"Production — multiple customers","Production — one customer"}),1,0)+IF(OR(E26={"Production — multiple customers","Production — one customer"}),1,0)+IF(OR(E27={"Production — multiple customers","Production — one customer"}),1,0)+IF(OR(E29={"Production — multiple customers","Production — one customer"}),1,0)+IF(OR(E30={"Production — multiple customers","Production — one customer"}),1,0)+IF(OR(E31={"Production — multiple customers","Production — one customer"}),1,0)+IF(OR(E32={"Production — multiple customers","Production — one customer"}),1,0))/11</f>
        <v/>
      </c>
      <c r="F11" s="19">
        <f>(IF(OR(F20={"Production — multiple customers","Production — one customer"}),1,0)+IF(OR(F21={"Production — multiple customers","Production — one customer"}),1,0)+IF(OR(F22={"Production — multiple customers","Production — one customer"}),1,0)+IF(OR(F24={"Production — multiple customers","Production — one customer"}),1,0)+IF(OR(F25={"Production — multiple customers","Production — one customer"}),1,0)+IF(OR(F26={"Production — multiple customers","Production — one customer"}),1,0)+IF(OR(F27={"Production — multiple customers","Production — one customer"}),1,0)+IF(OR(F29={"Production — multiple customers","Production — one customer"}),1,0)+IF(OR(F30={"Production — multiple customers","Production — one customer"}),1,0)+IF(OR(F31={"Production — multiple customers","Production — one customer"}),1,0)+IF(OR(F32={"Production — multiple customers","Production — one customer"}),1,0))/11</f>
        <v/>
      </c>
      <c r="G11" s="19">
        <f>(IF(OR(G20={"Production — multiple customers","Production — one customer"}),1,0)+IF(OR(G21={"Production — multiple customers","Production — one customer"}),1,0)+IF(OR(G22={"Production — multiple customers","Production — one customer"}),1,0)+IF(OR(G24={"Production — multiple customers","Production — one customer"}),1,0)+IF(OR(G25={"Production — multiple customers","Production — one customer"}),1,0)+IF(OR(G26={"Production — multiple customers","Production — one customer"}),1,0)+IF(OR(G27={"Production — multiple customers","Production — one customer"}),1,0)+IF(OR(G29={"Production — multiple customers","Production — one customer"}),1,0)+IF(OR(G30={"Production — multiple customers","Production — one customer"}),1,0)+IF(OR(G31={"Production — multiple customers","Production — one customer"}),1,0)+IF(OR(G32={"Production — multiple customers","Production — one customer"}),1,0))/11</f>
        <v/>
      </c>
      <c r="H11" s="19">
        <f>(IF(OR(H20={"Production — multiple customers","Production — one customer"}),1,0)+IF(OR(H21={"Production — multiple customers","Production — one customer"}),1,0)+IF(OR(H22={"Production — multiple customers","Production — one customer"}),1,0)+IF(OR(H24={"Production — multiple customers","Production — one customer"}),1,0)+IF(OR(H25={"Production — multiple customers","Production — one customer"}),1,0)+IF(OR(H26={"Production — multiple customers","Production — one customer"}),1,0)+IF(OR(H27={"Production — multiple customers","Production — one customer"}),1,0)+IF(OR(H29={"Production — multiple customers","Production — one customer"}),1,0)+IF(OR(H30={"Production — multiple customers","Production — one customer"}),1,0)+IF(OR(H31={"Production — multiple customers","Production — one customer"}),1,0)+IF(OR(H32={"Production — multiple customers","Production — one customer"}),1,0))/11</f>
        <v/>
      </c>
      <c r="I11" s="19">
        <f>(IF(OR(I20={"Production — multiple customers","Production — one customer"}),1,0)+IF(OR(I21={"Production — multiple customers","Production — one customer"}),1,0)+IF(OR(I22={"Production — multiple customers","Production — one customer"}),1,0)+IF(OR(I24={"Production — multiple customers","Production — one customer"}),1,0)+IF(OR(I25={"Production — multiple customers","Production — one customer"}),1,0)+IF(OR(I26={"Production — multiple customers","Production — one customer"}),1,0)+IF(OR(I27={"Production — multiple customers","Production — one customer"}),1,0)+IF(OR(I29={"Production — multiple customers","Production — one customer"}),1,0)+IF(OR(I30={"Production — multiple customers","Production — one customer"}),1,0)+IF(OR(I31={"Production — multiple customers","Production — one customer"}),1,0)+IF(OR(I32={"Production — multiple customers","Production — one customer"}),1,0))/11</f>
        <v/>
      </c>
      <c r="J11" s="19">
        <f>(IF(OR(J20={"Production — multiple customers","Production — one customer"}),1,0)+IF(OR(J21={"Production — multiple customers","Production — one customer"}),1,0)+IF(OR(J22={"Production — multiple customers","Production — one customer"}),1,0)+IF(OR(J24={"Production — multiple customers","Production — one customer"}),1,0)+IF(OR(J25={"Production — multiple customers","Production — one customer"}),1,0)+IF(OR(J26={"Production — multiple customers","Production — one customer"}),1,0)+IF(OR(J27={"Production — multiple customers","Production — one customer"}),1,0)+IF(OR(J29={"Production — multiple customers","Production — one customer"}),1,0)+IF(OR(J30={"Production — multiple customers","Production — one customer"}),1,0)+IF(OR(J31={"Production — multiple customers","Production — one customer"}),1,0)+IF(OR(J32={"Production — multiple customers","Production — one customer"}),1,0))/11</f>
        <v/>
      </c>
      <c r="K11" s="19">
        <f>(IF(OR(K20={"Production — multiple customers","Production — one customer"}),1,0)+IF(OR(K21={"Production — multiple customers","Production — one customer"}),1,0)+IF(OR(K22={"Production — multiple customers","Production — one customer"}),1,0)+IF(OR(K24={"Production — multiple customers","Production — one customer"}),1,0)+IF(OR(K25={"Production — multiple customers","Production — one customer"}),1,0)+IF(OR(K26={"Production — multiple customers","Production — one customer"}),1,0)+IF(OR(K27={"Production — multiple customers","Production — one customer"}),1,0)+IF(OR(K29={"Production — multiple customers","Production — one customer"}),1,0)+IF(OR(K30={"Production — multiple customers","Production — one customer"}),1,0)+IF(OR(K31={"Production — multiple customers","Production — one customer"}),1,0)+IF(OR(K32={"Production — multiple customers","Production — one customer"}),1,0))/11</f>
        <v/>
      </c>
      <c r="L11" s="19">
        <f>(IF(OR(L20={"Production — multiple customers","Production — one customer"}),1,0)+IF(OR(L21={"Production — multiple customers","Production — one customer"}),1,0)+IF(OR(L22={"Production — multiple customers","Production — one customer"}),1,0)+IF(OR(L24={"Production — multiple customers","Production — one customer"}),1,0)+IF(OR(L25={"Production — multiple customers","Production — one customer"}),1,0)+IF(OR(L26={"Production — multiple customers","Production — one customer"}),1,0)+IF(OR(L27={"Production — multiple customers","Production — one customer"}),1,0)+IF(OR(L29={"Production — multiple customers","Production — one customer"}),1,0)+IF(OR(L30={"Production — multiple customers","Production — one customer"}),1,0)+IF(OR(L31={"Production — multiple customers","Production — one customer"}),1,0)+IF(OR(L32={"Production — multiple customers","Production — one customer"}),1,0))/11</f>
        <v/>
      </c>
      <c r="M11" s="19">
        <f>(IF(OR(M20={"Production — multiple customers","Production — one customer"}),1,0)+IF(OR(M21={"Production — multiple customers","Production — one customer"}),1,0)+IF(OR(M22={"Production — multiple customers","Production — one customer"}),1,0)+IF(OR(M24={"Production — multiple customers","Production — one customer"}),1,0)+IF(OR(M25={"Production — multiple customers","Production — one customer"}),1,0)+IF(OR(M26={"Production — multiple customers","Production — one customer"}),1,0)+IF(OR(M27={"Production — multiple customers","Production — one customer"}),1,0)+IF(OR(M29={"Production — multiple customers","Production — one customer"}),1,0)+IF(OR(M30={"Production — multiple customers","Production — one customer"}),1,0)+IF(OR(M31={"Production — multiple customers","Production — one customer"}),1,0)+IF(OR(M32={"Production — multiple customers","Production — one customer"}),1,0))/11</f>
        <v/>
      </c>
      <c r="N11" s="19">
        <f>(IF(OR(N20={"Production — multiple customers","Production — one customer"}),1,0)+IF(OR(N21={"Production — multiple customers","Production — one customer"}),1,0)+IF(OR(N22={"Production — multiple customers","Production — one customer"}),1,0)+IF(OR(N24={"Production — multiple customers","Production — one customer"}),1,0)+IF(OR(N25={"Production — multiple customers","Production — one customer"}),1,0)+IF(OR(N26={"Production — multiple customers","Production — one customer"}),1,0)+IF(OR(N27={"Production — multiple customers","Production — one customer"}),1,0)+IF(OR(N29={"Production — multiple customers","Production — one customer"}),1,0)+IF(OR(N30={"Production — multiple customers","Production — one customer"}),1,0)+IF(OR(N31={"Production — multiple customers","Production — one customer"}),1,0)+IF(OR(N32={"Production — multiple customers","Production — one customer"}),1,0))/11</f>
        <v/>
      </c>
      <c r="O11" s="19">
        <f>(IF(OR(O20={"Production — multiple customers","Production — one customer"}),1,0)+IF(OR(O21={"Production — multiple customers","Production — one customer"}),1,0)+IF(OR(O22={"Production — multiple customers","Production — one customer"}),1,0)+IF(OR(O24={"Production — multiple customers","Production — one customer"}),1,0)+IF(OR(O25={"Production — multiple customers","Production — one customer"}),1,0)+IF(OR(O26={"Production — multiple customers","Production — one customer"}),1,0)+IF(OR(O27={"Production — multiple customers","Production — one customer"}),1,0)+IF(OR(O29={"Production — multiple customers","Production — one customer"}),1,0)+IF(OR(O30={"Production — multiple customers","Production — one customer"}),1,0)+IF(OR(O31={"Production — multiple customers","Production — one customer"}),1,0)+IF(OR(O32={"Production — multiple customers","Production — one customer"}),1,0))/11</f>
        <v/>
      </c>
      <c r="P11" s="19">
        <f>(IF(OR(P20={"Production — multiple customers","Production — one customer"}),1,0)+IF(OR(P21={"Production — multiple customers","Production — one customer"}),1,0)+IF(OR(P22={"Production — multiple customers","Production — one customer"}),1,0)+IF(OR(P24={"Production — multiple customers","Production — one customer"}),1,0)+IF(OR(P25={"Production — multiple customers","Production — one customer"}),1,0)+IF(OR(P26={"Production — multiple customers","Production — one customer"}),1,0)+IF(OR(P27={"Production — multiple customers","Production — one customer"}),1,0)+IF(OR(P29={"Production — multiple customers","Production — one customer"}),1,0)+IF(OR(P30={"Production — multiple customers","Production — one customer"}),1,0)+IF(OR(P31={"Production — multiple customers","Production — one customer"}),1,0)+IF(OR(P32={"Production — multiple customers","Production — one customer"}),1,0))/11</f>
        <v/>
      </c>
      <c r="Q11" s="19">
        <f>(IF(OR(Q20={"Production — multiple customers","Production — one customer"}),1,0)+IF(OR(Q21={"Production — multiple customers","Production — one customer"}),1,0)+IF(OR(Q22={"Production — multiple customers","Production — one customer"}),1,0)+IF(OR(Q24={"Production — multiple customers","Production — one customer"}),1,0)+IF(OR(Q25={"Production — multiple customers","Production — one customer"}),1,0)+IF(OR(Q26={"Production — multiple customers","Production — one customer"}),1,0)+IF(OR(Q27={"Production — multiple customers","Production — one customer"}),1,0)+IF(OR(Q29={"Production — multiple customers","Production — one customer"}),1,0)+IF(OR(Q30={"Production — multiple customers","Production — one customer"}),1,0)+IF(OR(Q31={"Production — multiple customers","Production — one customer"}),1,0)+IF(OR(Q32={"Production — multiple customers","Production — one customer"}),1,0))/11</f>
        <v/>
      </c>
      <c r="R11" s="19">
        <f>(IF(OR(R20={"Production — multiple customers","Production — one customer"}),1,0)+IF(OR(R21={"Production — multiple customers","Production — one customer"}),1,0)+IF(OR(R22={"Production — multiple customers","Production — one customer"}),1,0)+IF(OR(R24={"Production — multiple customers","Production — one customer"}),1,0)+IF(OR(R25={"Production — multiple customers","Production — one customer"}),1,0)+IF(OR(R26={"Production — multiple customers","Production — one customer"}),1,0)+IF(OR(R27={"Production — multiple customers","Production — one customer"}),1,0)+IF(OR(R29={"Production — multiple customers","Production — one customer"}),1,0)+IF(OR(R30={"Production — multiple customers","Production — one customer"}),1,0)+IF(OR(R31={"Production — multiple customers","Production — one customer"}),1,0)+IF(OR(R32={"Production — multiple customers","Production — one customer"}),1,0))/11</f>
        <v/>
      </c>
      <c r="S11" s="19">
        <f>(IF(OR(S20={"Production — multiple customers","Production — one customer"}),1,0)+IF(OR(S21={"Production — multiple customers","Production — one customer"}),1,0)+IF(OR(S22={"Production — multiple customers","Production — one customer"}),1,0)+IF(OR(S24={"Production — multiple customers","Production — one customer"}),1,0)+IF(OR(S25={"Production — multiple customers","Production — one customer"}),1,0)+IF(OR(S26={"Production — multiple customers","Production — one customer"}),1,0)+IF(OR(S27={"Production — multiple customers","Production — one customer"}),1,0)+IF(OR(S29={"Production — multiple customers","Production — one customer"}),1,0)+IF(OR(S30={"Production — multiple customers","Production — one customer"}),1,0)+IF(OR(S31={"Production — multiple customers","Production — one customer"}),1,0)+IF(OR(S32={"Production — multiple customers","Production — one customer"}),1,0))/11</f>
        <v/>
      </c>
    </row>
    <row r="12" ht="19" customHeight="1">
      <c r="B12" s="18" t="inlineStr">
        <is>
          <t>Average rating</t>
        </is>
      </c>
      <c r="C12" s="14" t="inlineStr">
        <is>
          <t>across areas reached</t>
        </is>
      </c>
      <c r="D12" s="20">
        <f>IFERROR(AVERAGE(D36,D37,D38,D40,D41,D42,D43,D45,D46,D47,D48),0)</f>
        <v/>
      </c>
      <c r="E12" s="20">
        <f>IFERROR(AVERAGE(E36,E37,E38,E40,E41,E42,E43,E45,E46,E47,E48),0)</f>
        <v/>
      </c>
      <c r="F12" s="20">
        <f>IFERROR(AVERAGE(F36,F37,F38,F40,F41,F42,F43,F45,F46,F47,F48),0)</f>
        <v/>
      </c>
      <c r="G12" s="20">
        <f>IFERROR(AVERAGE(G36,G37,G38,G40,G41,G42,G43,G45,G46,G47,G48),0)</f>
        <v/>
      </c>
      <c r="H12" s="20">
        <f>IFERROR(AVERAGE(H36,H37,H38,H40,H41,H42,H43,H45,H46,H47,H48),0)</f>
        <v/>
      </c>
      <c r="I12" s="20">
        <f>IFERROR(AVERAGE(I36,I37,I38,I40,I41,I42,I43,I45,I46,I47,I48),0)</f>
        <v/>
      </c>
      <c r="J12" s="20">
        <f>IFERROR(AVERAGE(J36,J37,J38,J40,J41,J42,J43,J45,J46,J47,J48),0)</f>
        <v/>
      </c>
      <c r="K12" s="20">
        <f>IFERROR(AVERAGE(K36,K37,K38,K40,K41,K42,K43,K45,K46,K47,K48),0)</f>
        <v/>
      </c>
      <c r="L12" s="20">
        <f>IFERROR(AVERAGE(L36,L37,L38,L40,L41,L42,L43,L45,L46,L47,L48),0)</f>
        <v/>
      </c>
      <c r="M12" s="20">
        <f>IFERROR(AVERAGE(M36,M37,M38,M40,M41,M42,M43,M45,M46,M47,M48),0)</f>
        <v/>
      </c>
      <c r="N12" s="20">
        <f>IFERROR(AVERAGE(N36,N37,N38,N40,N41,N42,N43,N45,N46,N47,N48),0)</f>
        <v/>
      </c>
      <c r="O12" s="20">
        <f>IFERROR(AVERAGE(O36,O37,O38,O40,O41,O42,O43,O45,O46,O47,O48),0)</f>
        <v/>
      </c>
      <c r="P12" s="20">
        <f>IFERROR(AVERAGE(P36,P37,P38,P40,P41,P42,P43,P45,P46,P47,P48),0)</f>
        <v/>
      </c>
      <c r="Q12" s="20">
        <f>IFERROR(AVERAGE(Q36,Q37,Q38,Q40,Q41,Q42,Q43,Q45,Q46,Q47,Q48),0)</f>
        <v/>
      </c>
      <c r="R12" s="20">
        <f>IFERROR(AVERAGE(R36,R37,R38,R40,R41,R42,R43,R45,R46,R47,R48),0)</f>
        <v/>
      </c>
      <c r="S12" s="20">
        <f>IFERROR(AVERAGE(S36,S37,S38,S40,S41,S42,S43,S45,S46,S47,S48),0)</f>
        <v/>
      </c>
    </row>
    <row r="13" ht="19" customHeight="1">
      <c r="B13" s="21" t="inlineStr">
        <is>
          <t>Capacity</t>
        </is>
      </c>
      <c r="C13" s="14" t="inlineStr">
        <is>
          <t>avg rating, 3 areas</t>
        </is>
      </c>
      <c r="D13" s="22">
        <f>IFERROR(AVERAGE(D36,D37,D38),0)</f>
        <v/>
      </c>
      <c r="E13" s="22">
        <f>IFERROR(AVERAGE(E36,E37,E38),0)</f>
        <v/>
      </c>
      <c r="F13" s="22">
        <f>IFERROR(AVERAGE(F36,F37,F38),0)</f>
        <v/>
      </c>
      <c r="G13" s="22">
        <f>IFERROR(AVERAGE(G36,G37,G38),0)</f>
        <v/>
      </c>
      <c r="H13" s="22">
        <f>IFERROR(AVERAGE(H36,H37,H38),0)</f>
        <v/>
      </c>
      <c r="I13" s="22">
        <f>IFERROR(AVERAGE(I36,I37,I38),0)</f>
        <v/>
      </c>
      <c r="J13" s="22">
        <f>IFERROR(AVERAGE(J36,J37,J38),0)</f>
        <v/>
      </c>
      <c r="K13" s="22">
        <f>IFERROR(AVERAGE(K36,K37,K38),0)</f>
        <v/>
      </c>
      <c r="L13" s="22">
        <f>IFERROR(AVERAGE(L36,L37,L38),0)</f>
        <v/>
      </c>
      <c r="M13" s="22">
        <f>IFERROR(AVERAGE(M36,M37,M38),0)</f>
        <v/>
      </c>
      <c r="N13" s="22">
        <f>IFERROR(AVERAGE(N36,N37,N38),0)</f>
        <v/>
      </c>
      <c r="O13" s="22">
        <f>IFERROR(AVERAGE(O36,O37,O38),0)</f>
        <v/>
      </c>
      <c r="P13" s="22">
        <f>IFERROR(AVERAGE(P36,P37,P38),0)</f>
        <v/>
      </c>
      <c r="Q13" s="22">
        <f>IFERROR(AVERAGE(Q36,Q37,Q38),0)</f>
        <v/>
      </c>
      <c r="R13" s="22">
        <f>IFERROR(AVERAGE(R36,R37,R38),0)</f>
        <v/>
      </c>
      <c r="S13" s="22">
        <f>IFERROR(AVERAGE(S36,S37,S38),0)</f>
        <v/>
      </c>
    </row>
    <row r="14" ht="19" customHeight="1">
      <c r="B14" s="23" t="inlineStr">
        <is>
          <t>Scheduling</t>
        </is>
      </c>
      <c r="C14" s="14" t="inlineStr">
        <is>
          <t>avg rating, 4 areas</t>
        </is>
      </c>
      <c r="D14" s="24">
        <f>IFERROR(AVERAGE(D40,D41,D42,D43),0)</f>
        <v/>
      </c>
      <c r="E14" s="24">
        <f>IFERROR(AVERAGE(E40,E41,E42,E43),0)</f>
        <v/>
      </c>
      <c r="F14" s="24">
        <f>IFERROR(AVERAGE(F40,F41,F42,F43),0)</f>
        <v/>
      </c>
      <c r="G14" s="24">
        <f>IFERROR(AVERAGE(G40,G41,G42,G43),0)</f>
        <v/>
      </c>
      <c r="H14" s="24">
        <f>IFERROR(AVERAGE(H40,H41,H42,H43),0)</f>
        <v/>
      </c>
      <c r="I14" s="24">
        <f>IFERROR(AVERAGE(I40,I41,I42,I43),0)</f>
        <v/>
      </c>
      <c r="J14" s="24">
        <f>IFERROR(AVERAGE(J40,J41,J42,J43),0)</f>
        <v/>
      </c>
      <c r="K14" s="24">
        <f>IFERROR(AVERAGE(K40,K41,K42,K43),0)</f>
        <v/>
      </c>
      <c r="L14" s="24">
        <f>IFERROR(AVERAGE(L40,L41,L42,L43),0)</f>
        <v/>
      </c>
      <c r="M14" s="24">
        <f>IFERROR(AVERAGE(M40,M41,M42,M43),0)</f>
        <v/>
      </c>
      <c r="N14" s="24">
        <f>IFERROR(AVERAGE(N40,N41,N42,N43),0)</f>
        <v/>
      </c>
      <c r="O14" s="24">
        <f>IFERROR(AVERAGE(O40,O41,O42,O43),0)</f>
        <v/>
      </c>
      <c r="P14" s="24">
        <f>IFERROR(AVERAGE(P40,P41,P42,P43),0)</f>
        <v/>
      </c>
      <c r="Q14" s="24">
        <f>IFERROR(AVERAGE(Q40,Q41,Q42,Q43),0)</f>
        <v/>
      </c>
      <c r="R14" s="24">
        <f>IFERROR(AVERAGE(R40,R41,R42,R43),0)</f>
        <v/>
      </c>
      <c r="S14" s="24">
        <f>IFERROR(AVERAGE(S40,S41,S42,S43),0)</f>
        <v/>
      </c>
    </row>
    <row r="15" ht="19" customHeight="1">
      <c r="B15" s="25" t="inlineStr">
        <is>
          <t>Engagement</t>
        </is>
      </c>
      <c r="C15" s="14" t="inlineStr">
        <is>
          <t>avg rating, 4 areas</t>
        </is>
      </c>
      <c r="D15" s="26">
        <f>IFERROR(AVERAGE(D45,D46,D47,D48),0)</f>
        <v/>
      </c>
      <c r="E15" s="26">
        <f>IFERROR(AVERAGE(E45,E46,E47,E48),0)</f>
        <v/>
      </c>
      <c r="F15" s="26">
        <f>IFERROR(AVERAGE(F45,F46,F47,F48),0)</f>
        <v/>
      </c>
      <c r="G15" s="26">
        <f>IFERROR(AVERAGE(G45,G46,G47,G48),0)</f>
        <v/>
      </c>
      <c r="H15" s="26">
        <f>IFERROR(AVERAGE(H45,H46,H47,H48),0)</f>
        <v/>
      </c>
      <c r="I15" s="26">
        <f>IFERROR(AVERAGE(I45,I46,I47,I48),0)</f>
        <v/>
      </c>
      <c r="J15" s="26">
        <f>IFERROR(AVERAGE(J45,J46,J47,J48),0)</f>
        <v/>
      </c>
      <c r="K15" s="26">
        <f>IFERROR(AVERAGE(K45,K46,K47,K48),0)</f>
        <v/>
      </c>
      <c r="L15" s="26">
        <f>IFERROR(AVERAGE(L45,L46,L47,L48),0)</f>
        <v/>
      </c>
      <c r="M15" s="26">
        <f>IFERROR(AVERAGE(M45,M46,M47,M48),0)</f>
        <v/>
      </c>
      <c r="N15" s="26">
        <f>IFERROR(AVERAGE(N45,N46,N47,N48),0)</f>
        <v/>
      </c>
      <c r="O15" s="26">
        <f>IFERROR(AVERAGE(O45,O46,O47,O48),0)</f>
        <v/>
      </c>
      <c r="P15" s="26">
        <f>IFERROR(AVERAGE(P45,P46,P47,P48),0)</f>
        <v/>
      </c>
      <c r="Q15" s="26">
        <f>IFERROR(AVERAGE(Q45,Q46,Q47,Q48),0)</f>
        <v/>
      </c>
      <c r="R15" s="26">
        <f>IFERROR(AVERAGE(R45,R46,R47,R48),0)</f>
        <v/>
      </c>
      <c r="S15" s="26">
        <f>IFERROR(AVERAGE(S45,S46,S47,S48),0)</f>
        <v/>
      </c>
    </row>
    <row r="17" ht="21" customHeight="1">
      <c r="B17" s="4" t="inlineStr">
        <is>
          <t>1  ·  STATUS   —   what they have.  Copy it from their Section B answer.</t>
        </is>
      </c>
    </row>
    <row r="18" ht="22" customHeight="1">
      <c r="B18" s="27" t="inlineStr">
        <is>
          <t>HCHB integration</t>
        </is>
      </c>
      <c r="C18" s="28" t="inlineStr">
        <is>
          <t>Question A1 — the leadership priority</t>
        </is>
      </c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</row>
    <row r="19" ht="18" customHeight="1">
      <c r="B19" s="30" t="inlineStr">
        <is>
          <t>CAPACITY MANAGEMENT   ·   3 areas</t>
        </is>
      </c>
    </row>
    <row r="20" ht="17" customHeight="1">
      <c r="B20" s="18" t="inlineStr">
        <is>
          <t>1   Workforce supply</t>
        </is>
      </c>
      <c r="C20" s="31" t="inlineStr">
        <is>
          <t>Roster, disciplines, roles, competencies, ramp, float pool</t>
        </is>
      </c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</row>
    <row r="21" ht="17" customHeight="1">
      <c r="B21" s="18" t="inlineStr">
        <is>
          <t>2   Availability &amp; reach</t>
        </is>
      </c>
      <c r="C21" s="31" t="inlineStr">
        <is>
          <t>Availability and time off, territory, drive-time reachability</t>
        </is>
      </c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</row>
    <row r="22" ht="17" customHeight="1">
      <c r="B22" s="18" t="inlineStr">
        <is>
          <t>3   The capacity math</t>
        </is>
      </c>
      <c r="C22" s="31" t="inlineStr">
        <is>
          <t>Visit weighting, targets and ceilings, committed load vs. open room</t>
        </is>
      </c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</row>
    <row r="23" ht="18" customHeight="1">
      <c r="B23" s="33" t="inlineStr">
        <is>
          <t>SCHEDULING ENGINE   ·   4 areas</t>
        </is>
      </c>
    </row>
    <row r="24" ht="17" customHeight="1">
      <c r="B24" s="18" t="inlineStr">
        <is>
          <t>4   Demand</t>
        </is>
      </c>
      <c r="C24" s="31" t="inlineStr">
        <is>
          <t>Ingesting ordered visits, authorization, readiness, compliance windows</t>
        </is>
      </c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  <c r="O24" s="32" t="n"/>
      <c r="P24" s="32" t="n"/>
      <c r="Q24" s="32" t="n"/>
      <c r="R24" s="32" t="n"/>
      <c r="S24" s="32" t="n"/>
    </row>
    <row r="25" ht="17" customHeight="1">
      <c r="B25" s="18" t="inlineStr">
        <is>
          <t>5   Matching</t>
        </is>
      </c>
      <c r="C25" s="31" t="inlineStr">
        <is>
          <t>Discipline and competency fit, clinician and patient needs, clinical timing, continuity</t>
        </is>
      </c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2" t="n"/>
      <c r="S25" s="32" t="n"/>
    </row>
    <row r="26" ht="17" customHeight="1">
      <c r="B26" s="18" t="inlineStr">
        <is>
          <t>6   Routing &amp; the week</t>
        </is>
      </c>
      <c r="C26" s="31" t="inlineStr">
        <is>
          <t>Routing, sequencing, front-loading, week balancing</t>
        </is>
      </c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</row>
    <row r="27" ht="17" customHeight="1">
      <c r="B27" s="18" t="inlineStr">
        <is>
          <t>7   Exceptions</t>
        </is>
      </c>
      <c r="C27" s="31" t="inlineStr">
        <is>
          <t>Missed visits, call-outs, reassignment, coverage, rebooking</t>
        </is>
      </c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</row>
    <row r="28" ht="18" customHeight="1">
      <c r="B28" s="34" t="inlineStr">
        <is>
          <t>ENGAGEMENT   ·   4 areas</t>
        </is>
      </c>
    </row>
    <row r="29" ht="17" customHeight="1">
      <c r="B29" s="18" t="inlineStr">
        <is>
          <t>8   Before the visit</t>
        </is>
      </c>
      <c r="C29" s="31" t="inlineStr">
        <is>
          <t>Welcome call, availability capture, reminders, confirmation, en-route</t>
        </is>
      </c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2" t="n"/>
      <c r="P29" s="32" t="n"/>
      <c r="Q29" s="32" t="n"/>
      <c r="R29" s="32" t="n"/>
      <c r="S29" s="32" t="n"/>
    </row>
    <row r="30" ht="17" customHeight="1">
      <c r="B30" s="18" t="inlineStr">
        <is>
          <t>9   When plans change</t>
        </is>
      </c>
      <c r="C30" s="31" t="inlineStr">
        <is>
          <t>Reschedule, coverage coordination and clinician outreach, urgent same-day needs</t>
        </is>
      </c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</row>
    <row r="31" ht="17" customHeight="1">
      <c r="B31" s="18" t="inlineStr">
        <is>
          <t>10   Incentives &amp; offers</t>
        </is>
      </c>
      <c r="C31" s="31" t="inlineStr">
        <is>
          <t>Surfacing hard-to-fill visits to clinicians, and any incentive attached</t>
        </is>
      </c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</row>
    <row r="32" ht="17" customHeight="1">
      <c r="B32" s="18" t="inlineStr">
        <is>
          <t>11   Across the care team</t>
        </is>
      </c>
      <c r="C32" s="31" t="inlineStr">
        <is>
          <t>Multi-discipline coordination, clinician and office updates</t>
        </is>
      </c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</row>
    <row r="34" ht="21" customHeight="1">
      <c r="B34" s="4" t="inlineStr">
        <is>
          <t>2  ·  RATING   —   how much of the work it does, 0–100.  Blank where the status is Not available.</t>
        </is>
      </c>
    </row>
    <row r="35" ht="18" customHeight="1">
      <c r="B35" s="30" t="inlineStr">
        <is>
          <t>CAPACITY MANAGEMENT</t>
        </is>
      </c>
    </row>
    <row r="36" ht="17" customHeight="1">
      <c r="B36" s="18" t="inlineStr">
        <is>
          <t>1   Workforce supply</t>
        </is>
      </c>
      <c r="C36" s="14" t="inlineStr">
        <is>
          <t>90+ runs it · 70+ recommends · 50+ checks · 25+ shows it</t>
        </is>
      </c>
      <c r="D36" s="35" t="n"/>
      <c r="E36" s="35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5" t="n"/>
      <c r="S36" s="35" t="n"/>
    </row>
    <row r="37" ht="17" customHeight="1">
      <c r="B37" s="18" t="inlineStr">
        <is>
          <t>2   Availability &amp; reach</t>
        </is>
      </c>
      <c r="C37" s="14" t="inlineStr">
        <is>
          <t>90+ runs it · 70+ recommends · 50+ checks · 25+ shows it</t>
        </is>
      </c>
      <c r="D37" s="35" t="n"/>
      <c r="E37" s="35" t="n"/>
      <c r="F37" s="35" t="n"/>
      <c r="G37" s="35" t="n"/>
      <c r="H37" s="35" t="n"/>
      <c r="I37" s="35" t="n"/>
      <c r="J37" s="35" t="n"/>
      <c r="K37" s="35" t="n"/>
      <c r="L37" s="35" t="n"/>
      <c r="M37" s="35" t="n"/>
      <c r="N37" s="35" t="n"/>
      <c r="O37" s="35" t="n"/>
      <c r="P37" s="35" t="n"/>
      <c r="Q37" s="35" t="n"/>
      <c r="R37" s="35" t="n"/>
      <c r="S37" s="35" t="n"/>
    </row>
    <row r="38" ht="17" customHeight="1">
      <c r="B38" s="18" t="inlineStr">
        <is>
          <t>3   The capacity math</t>
        </is>
      </c>
      <c r="C38" s="14" t="inlineStr">
        <is>
          <t>90+ runs it · 70+ recommends · 50+ checks · 25+ shows it</t>
        </is>
      </c>
      <c r="D38" s="35" t="n"/>
      <c r="E38" s="35" t="n"/>
      <c r="F38" s="35" t="n"/>
      <c r="G38" s="35" t="n"/>
      <c r="H38" s="35" t="n"/>
      <c r="I38" s="35" t="n"/>
      <c r="J38" s="35" t="n"/>
      <c r="K38" s="35" t="n"/>
      <c r="L38" s="35" t="n"/>
      <c r="M38" s="35" t="n"/>
      <c r="N38" s="35" t="n"/>
      <c r="O38" s="35" t="n"/>
      <c r="P38" s="35" t="n"/>
      <c r="Q38" s="35" t="n"/>
      <c r="R38" s="35" t="n"/>
      <c r="S38" s="35" t="n"/>
    </row>
    <row r="39" ht="18" customHeight="1">
      <c r="B39" s="33" t="inlineStr">
        <is>
          <t>SCHEDULING ENGINE</t>
        </is>
      </c>
    </row>
    <row r="40" ht="17" customHeight="1">
      <c r="B40" s="18" t="inlineStr">
        <is>
          <t>4   Demand</t>
        </is>
      </c>
      <c r="C40" s="14" t="inlineStr">
        <is>
          <t>90+ runs it · 70+ recommends · 50+ checks · 25+ shows it</t>
        </is>
      </c>
      <c r="D40" s="35" t="n"/>
      <c r="E40" s="35" t="n"/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  <c r="O40" s="35" t="n"/>
      <c r="P40" s="35" t="n"/>
      <c r="Q40" s="35" t="n"/>
      <c r="R40" s="35" t="n"/>
      <c r="S40" s="35" t="n"/>
    </row>
    <row r="41" ht="17" customHeight="1">
      <c r="B41" s="18" t="inlineStr">
        <is>
          <t>5   Matching</t>
        </is>
      </c>
      <c r="C41" s="14" t="inlineStr">
        <is>
          <t>90+ runs it · 70+ recommends · 50+ checks · 25+ shows it</t>
        </is>
      </c>
      <c r="D41" s="35" t="n"/>
      <c r="E41" s="35" t="n"/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5" t="n"/>
      <c r="R41" s="35" t="n"/>
      <c r="S41" s="35" t="n"/>
    </row>
    <row r="42" ht="17" customHeight="1">
      <c r="B42" s="18" t="inlineStr">
        <is>
          <t>6   Routing &amp; the week</t>
        </is>
      </c>
      <c r="C42" s="14" t="inlineStr">
        <is>
          <t>90+ runs it · 70+ recommends · 50+ checks · 25+ shows it</t>
        </is>
      </c>
      <c r="D42" s="35" t="n"/>
      <c r="E42" s="35" t="n"/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</row>
    <row r="43" ht="17" customHeight="1">
      <c r="B43" s="18" t="inlineStr">
        <is>
          <t>7   Exceptions</t>
        </is>
      </c>
      <c r="C43" s="14" t="inlineStr">
        <is>
          <t>90+ runs it · 70+ recommends · 50+ checks · 25+ shows it</t>
        </is>
      </c>
      <c r="D43" s="35" t="n"/>
      <c r="E43" s="35" t="n"/>
      <c r="F43" s="35" t="n"/>
      <c r="G43" s="35" t="n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5" t="n"/>
      <c r="S43" s="35" t="n"/>
    </row>
    <row r="44" ht="18" customHeight="1">
      <c r="B44" s="34" t="inlineStr">
        <is>
          <t>ENGAGEMENT</t>
        </is>
      </c>
    </row>
    <row r="45" ht="17" customHeight="1">
      <c r="B45" s="18" t="inlineStr">
        <is>
          <t>8   Before the visit</t>
        </is>
      </c>
      <c r="C45" s="14" t="inlineStr">
        <is>
          <t>90+ runs it · 70+ recommends · 50+ checks · 25+ shows it</t>
        </is>
      </c>
      <c r="D45" s="35" t="n"/>
      <c r="E45" s="35" t="n"/>
      <c r="F45" s="35" t="n"/>
      <c r="G45" s="35" t="n"/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5" t="n"/>
      <c r="S45" s="35" t="n"/>
    </row>
    <row r="46" ht="17" customHeight="1">
      <c r="B46" s="18" t="inlineStr">
        <is>
          <t>9   When plans change</t>
        </is>
      </c>
      <c r="C46" s="14" t="inlineStr">
        <is>
          <t>90+ runs it · 70+ recommends · 50+ checks · 25+ shows it</t>
        </is>
      </c>
      <c r="D46" s="35" t="n"/>
      <c r="E46" s="35" t="n"/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5" t="n"/>
      <c r="S46" s="35" t="n"/>
    </row>
    <row r="47" ht="17" customHeight="1">
      <c r="B47" s="18" t="inlineStr">
        <is>
          <t>10   Incentives &amp; offers</t>
        </is>
      </c>
      <c r="C47" s="14" t="inlineStr">
        <is>
          <t>90+ runs it · 70+ recommends · 50+ checks · 25+ shows it</t>
        </is>
      </c>
      <c r="D47" s="35" t="n"/>
      <c r="E47" s="35" t="n"/>
      <c r="F47" s="35" t="n"/>
      <c r="G47" s="35" t="n"/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5" t="n"/>
      <c r="S47" s="35" t="n"/>
    </row>
    <row r="48" ht="17" customHeight="1">
      <c r="B48" s="18" t="inlineStr">
        <is>
          <t>11   Across the care team</t>
        </is>
      </c>
      <c r="C48" s="14" t="inlineStr">
        <is>
          <t>90+ runs it · 70+ recommends · 50+ checks · 25+ shows it</t>
        </is>
      </c>
      <c r="D48" s="35" t="n"/>
      <c r="E48" s="35" t="n"/>
      <c r="F48" s="35" t="n"/>
      <c r="G48" s="35" t="n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5" t="n"/>
      <c r="S48" s="35" t="n"/>
    </row>
    <row r="50" ht="21" customHeight="1">
      <c r="B50" s="36" t="inlineStr">
        <is>
          <t>3  ·  NOTES   —   one line.  What decides this vendor, or what you could not tell.</t>
        </is>
      </c>
    </row>
    <row r="51" ht="66" customHeight="1">
      <c r="B51" s="37" t="inlineStr">
        <is>
          <t>What stands out</t>
        </is>
      </c>
      <c r="D51" s="38" t="n"/>
      <c r="E51" s="38" t="n"/>
      <c r="F51" s="38" t="n"/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8" t="n"/>
      <c r="S51" s="38" t="n"/>
    </row>
    <row r="52" ht="66" customHeight="1">
      <c r="B52" s="37" t="inlineStr">
        <is>
          <t>What worries me</t>
        </is>
      </c>
      <c r="D52" s="38" t="n"/>
      <c r="E52" s="38" t="n"/>
      <c r="F52" s="38" t="n"/>
      <c r="G52" s="38" t="n"/>
      <c r="H52" s="38" t="n"/>
      <c r="I52" s="38" t="n"/>
      <c r="J52" s="38" t="n"/>
      <c r="K52" s="38" t="n"/>
      <c r="L52" s="38" t="n"/>
      <c r="M52" s="38" t="n"/>
      <c r="N52" s="38" t="n"/>
      <c r="O52" s="38" t="n"/>
      <c r="P52" s="38" t="n"/>
      <c r="Q52" s="38" t="n"/>
      <c r="R52" s="38" t="n"/>
      <c r="S52" s="38" t="n"/>
    </row>
    <row r="53" ht="66" customHeight="1">
      <c r="B53" s="37" t="inlineStr">
        <is>
          <t>What I could not tell</t>
        </is>
      </c>
      <c r="D53" s="38" t="n"/>
      <c r="E53" s="38" t="n"/>
      <c r="F53" s="38" t="n"/>
      <c r="G53" s="38" t="n"/>
      <c r="H53" s="38" t="n"/>
      <c r="I53" s="38" t="n"/>
      <c r="J53" s="38" t="n"/>
      <c r="K53" s="38" t="n"/>
      <c r="L53" s="38" t="n"/>
      <c r="M53" s="38" t="n"/>
      <c r="N53" s="38" t="n"/>
      <c r="O53" s="38" t="n"/>
      <c r="P53" s="38" t="n"/>
      <c r="Q53" s="38" t="n"/>
      <c r="R53" s="38" t="n"/>
      <c r="S53" s="38" t="n"/>
    </row>
  </sheetData>
  <mergeCells count="11">
    <mergeCell ref="B44:S44"/>
    <mergeCell ref="B39:S39"/>
    <mergeCell ref="B19:S19"/>
    <mergeCell ref="B34:S34"/>
    <mergeCell ref="B50:S50"/>
    <mergeCell ref="B28:S28"/>
    <mergeCell ref="B17:S17"/>
    <mergeCell ref="B23:S23"/>
    <mergeCell ref="B8:S8"/>
    <mergeCell ref="B35:S35"/>
    <mergeCell ref="B4:S4"/>
  </mergeCells>
  <conditionalFormatting sqref="D10:S10">
    <cfRule type="colorScale" priority="1">
      <colorScale>
        <cfvo type="num" val="0"/>
        <cfvo type="num" val="1"/>
        <color rgb="00FFFFFF"/>
        <color rgb="00DDEBE0"/>
      </colorScale>
    </cfRule>
  </conditionalFormatting>
  <conditionalFormatting sqref="D11:S11">
    <cfRule type="colorScale" priority="2">
      <colorScale>
        <cfvo type="num" val="0"/>
        <cfvo type="num" val="1"/>
        <color rgb="00FFFFFF"/>
        <color rgb="00DDEBE0"/>
      </colorScale>
    </cfRule>
  </conditionalFormatting>
  <conditionalFormatting sqref="D12:S12">
    <cfRule type="colorScale" priority="3">
      <colorScale>
        <cfvo type="num" val="0"/>
        <cfvo type="num" val="100"/>
        <color rgb="00FFFFFF"/>
        <color rgb="001B211E"/>
      </colorScale>
    </cfRule>
  </conditionalFormatting>
  <conditionalFormatting sqref="D13:S13">
    <cfRule type="colorScale" priority="4">
      <colorScale>
        <cfvo type="num" val="0"/>
        <cfvo type="num" val="100"/>
        <color rgb="00FFFFFF"/>
        <color rgb="001F6F78"/>
      </colorScale>
    </cfRule>
  </conditionalFormatting>
  <conditionalFormatting sqref="D14:S14">
    <cfRule type="colorScale" priority="5">
      <colorScale>
        <cfvo type="num" val="0"/>
        <cfvo type="num" val="100"/>
        <color rgb="00FFFFFF"/>
        <color rgb="002E599D"/>
      </colorScale>
    </cfRule>
  </conditionalFormatting>
  <conditionalFormatting sqref="D15:S15">
    <cfRule type="colorScale" priority="6">
      <colorScale>
        <cfvo type="num" val="0"/>
        <cfvo type="num" val="100"/>
        <color rgb="00FFFFFF"/>
        <color rgb="004E8A5B"/>
      </colorScale>
    </cfRule>
  </conditionalFormatting>
  <conditionalFormatting sqref="D36:S36">
    <cfRule type="colorScale" priority="7">
      <colorScale>
        <cfvo type="num" val="0"/>
        <cfvo type="num" val="55"/>
        <cfvo type="num" val="95"/>
        <color rgb="00F7E6E6"/>
        <color rgb="00FBF3DD"/>
        <color rgb="00DDEBE0"/>
      </colorScale>
    </cfRule>
  </conditionalFormatting>
  <conditionalFormatting sqref="D37:S37">
    <cfRule type="colorScale" priority="8">
      <colorScale>
        <cfvo type="num" val="0"/>
        <cfvo type="num" val="55"/>
        <cfvo type="num" val="95"/>
        <color rgb="00F7E6E6"/>
        <color rgb="00FBF3DD"/>
        <color rgb="00DDEBE0"/>
      </colorScale>
    </cfRule>
  </conditionalFormatting>
  <conditionalFormatting sqref="D38:S38">
    <cfRule type="colorScale" priority="9">
      <colorScale>
        <cfvo type="num" val="0"/>
        <cfvo type="num" val="55"/>
        <cfvo type="num" val="95"/>
        <color rgb="00F7E6E6"/>
        <color rgb="00FBF3DD"/>
        <color rgb="00DDEBE0"/>
      </colorScale>
    </cfRule>
  </conditionalFormatting>
  <conditionalFormatting sqref="D40:S40">
    <cfRule type="colorScale" priority="10">
      <colorScale>
        <cfvo type="num" val="0"/>
        <cfvo type="num" val="55"/>
        <cfvo type="num" val="95"/>
        <color rgb="00F7E6E6"/>
        <color rgb="00FBF3DD"/>
        <color rgb="00DDEBE0"/>
      </colorScale>
    </cfRule>
  </conditionalFormatting>
  <conditionalFormatting sqref="D41:S41">
    <cfRule type="colorScale" priority="11">
      <colorScale>
        <cfvo type="num" val="0"/>
        <cfvo type="num" val="55"/>
        <cfvo type="num" val="95"/>
        <color rgb="00F7E6E6"/>
        <color rgb="00FBF3DD"/>
        <color rgb="00DDEBE0"/>
      </colorScale>
    </cfRule>
  </conditionalFormatting>
  <conditionalFormatting sqref="D42:S42">
    <cfRule type="colorScale" priority="12">
      <colorScale>
        <cfvo type="num" val="0"/>
        <cfvo type="num" val="55"/>
        <cfvo type="num" val="95"/>
        <color rgb="00F7E6E6"/>
        <color rgb="00FBF3DD"/>
        <color rgb="00DDEBE0"/>
      </colorScale>
    </cfRule>
  </conditionalFormatting>
  <conditionalFormatting sqref="D43:S43">
    <cfRule type="colorScale" priority="13">
      <colorScale>
        <cfvo type="num" val="0"/>
        <cfvo type="num" val="55"/>
        <cfvo type="num" val="95"/>
        <color rgb="00F7E6E6"/>
        <color rgb="00FBF3DD"/>
        <color rgb="00DDEBE0"/>
      </colorScale>
    </cfRule>
  </conditionalFormatting>
  <conditionalFormatting sqref="D45:S45">
    <cfRule type="colorScale" priority="14">
      <colorScale>
        <cfvo type="num" val="0"/>
        <cfvo type="num" val="55"/>
        <cfvo type="num" val="95"/>
        <color rgb="00F7E6E6"/>
        <color rgb="00FBF3DD"/>
        <color rgb="00DDEBE0"/>
      </colorScale>
    </cfRule>
  </conditionalFormatting>
  <conditionalFormatting sqref="D46:S46">
    <cfRule type="colorScale" priority="15">
      <colorScale>
        <cfvo type="num" val="0"/>
        <cfvo type="num" val="55"/>
        <cfvo type="num" val="95"/>
        <color rgb="00F7E6E6"/>
        <color rgb="00FBF3DD"/>
        <color rgb="00DDEBE0"/>
      </colorScale>
    </cfRule>
  </conditionalFormatting>
  <conditionalFormatting sqref="D47:S47">
    <cfRule type="colorScale" priority="16">
      <colorScale>
        <cfvo type="num" val="0"/>
        <cfvo type="num" val="55"/>
        <cfvo type="num" val="95"/>
        <color rgb="00F7E6E6"/>
        <color rgb="00FBF3DD"/>
        <color rgb="00DDEBE0"/>
      </colorScale>
    </cfRule>
  </conditionalFormatting>
  <conditionalFormatting sqref="D48:S48">
    <cfRule type="colorScale" priority="17">
      <colorScale>
        <cfvo type="num" val="0"/>
        <cfvo type="num" val="55"/>
        <cfvo type="num" val="95"/>
        <color rgb="00F7E6E6"/>
        <color rgb="00FBF3DD"/>
        <color rgb="00DDEBE0"/>
      </colorScale>
    </cfRule>
  </conditionalFormatting>
  <dataValidations count="3">
    <dataValidation sqref="D18:S18" showDropDown="0" showInputMessage="0" showErrorMessage="0" allowBlank="1" promptTitle="HCHB integration" prompt="From A1. Ambiguous? Take the lower line and say so in Notes." type="list">
      <formula1>=Lists!$B$2:$B$7</formula1>
    </dataValidation>
    <dataValidation sqref="D20:S20 D21:S21 D22:S22 D24:S24 D25:S25 D26:S26 D27:S27 D29:S29 D30:S30 D31:S31 D32:S32" showDropDown="0" showInputMessage="0" showErrorMessage="0" allowBlank="1" promptTitle="Status" prompt="What they have. Their own Section B wording. Section C wins where they differ." type="list">
      <formula1>=Lists!$D$2:$D$7</formula1>
    </dataValidation>
    <dataValidation sqref="D36:S36 D37:S37 D38:S38 D40:S40 D41:S41 D42:S42 D43:S43 D45:S45 D46:S46 D47:S47 D48:S48" showDropDown="0" showInputMessage="0" showErrorMessage="0" allowBlank="1" error="Ratings run 0 to 100. Leave it blank if the area is not available." promptTitle="Rating 0–100" prompt="90+ runs it · 70+ recommends it · 50+ checks it · 25+ shows it · blank if not available. Rate what the product does, not how much they wrote about it." type="whole" operator="between">
      <formula1>0</formula1>
      <formula2>100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7"/>
  <sheetViews>
    <sheetView workbookViewId="0">
      <selection activeCell="A1" sqref="A1"/>
    </sheetView>
  </sheetViews>
  <sheetFormatPr baseColWidth="8" defaultRowHeight="15"/>
  <cols>
    <col width="46" customWidth="1" min="2" max="2"/>
    <col width="34" customWidth="1" min="4" max="4"/>
  </cols>
  <sheetData>
    <row r="1">
      <c r="B1" s="1" t="inlineStr">
        <is>
          <t>HCHB</t>
        </is>
      </c>
      <c r="D1" s="1" t="inlineStr">
        <is>
          <t>Status</t>
        </is>
      </c>
    </row>
    <row r="2">
      <c r="B2" t="inlineStr">
        <is>
          <t>Live — reads and writes, multiple customers</t>
        </is>
      </c>
      <c r="D2" t="inlineStr">
        <is>
          <t>Production — multiple customers</t>
        </is>
      </c>
    </row>
    <row r="3">
      <c r="B3" t="inlineStr">
        <is>
          <t>Live — one customer, or one-way</t>
        </is>
      </c>
      <c r="D3" t="inlineStr">
        <is>
          <t>Production — one customer</t>
        </is>
      </c>
    </row>
    <row r="4">
      <c r="B4" t="inlineStr">
        <is>
          <t>Live — via a partner or flat file / screen automation</t>
        </is>
      </c>
      <c r="D4" t="inlineStr">
        <is>
          <t>Through a partner</t>
        </is>
      </c>
    </row>
    <row r="5">
      <c r="B5" t="inlineStr">
        <is>
          <t>In development — dated</t>
        </is>
      </c>
      <c r="D5" t="inlineStr">
        <is>
          <t>In development — dated</t>
        </is>
      </c>
    </row>
    <row r="6">
      <c r="B6" t="inlineStr">
        <is>
          <t>Roadmap — no date</t>
        </is>
      </c>
      <c r="D6" t="inlineStr">
        <is>
          <t>Roadmap — no date</t>
        </is>
      </c>
    </row>
    <row r="7">
      <c r="B7" t="inlineStr">
        <is>
          <t>None, and no path</t>
        </is>
      </c>
      <c r="D7" t="inlineStr">
        <is>
          <t>Not available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2026-09-03T16:15:27Z</dcterms:created>
  <dcterms:modified xsi:type="dcterms:W3CDTF">2026-09-03T16:15:27Z</dcterms:modified>
</cp:coreProperties>
</file>