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corecard" sheetId="2" state="visible" r:id="rId2"/>
    <sheet name="Lists" sheetId="3" state="hidden" r:id="rId3"/>
  </sheets>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ptos Narrow"/>
      <b val="1"/>
      <color rgb="005A6560"/>
      <sz val="9"/>
    </font>
    <font>
      <name val="Aptos Narrow"/>
      <b val="1"/>
      <color rgb="001B211E"/>
      <sz val="20"/>
    </font>
    <font>
      <name val="Aptos Narrow"/>
      <i val="1"/>
      <color rgb="005A6560"/>
      <sz val="10"/>
    </font>
    <font>
      <name val="Aptos Narrow"/>
      <b val="1"/>
      <color rgb="00FFFFFF"/>
      <sz val="9"/>
    </font>
    <font>
      <name val="Aptos Narrow"/>
      <color rgb="001B211E"/>
      <sz val="10"/>
    </font>
    <font>
      <name val="Aptos Narrow"/>
      <b val="1"/>
      <color rgb="00C6A01F"/>
      <sz val="11"/>
    </font>
    <font>
      <name val="Aptos Narrow"/>
      <b val="1"/>
      <color rgb="001B211E"/>
      <sz val="11"/>
    </font>
    <font>
      <name val="Aptos Narrow"/>
      <b val="1"/>
      <color rgb="001B211E"/>
      <sz val="10"/>
    </font>
    <font>
      <name val="Aptos Narrow"/>
      <i val="1"/>
      <color rgb="005A6560"/>
      <sz val="9"/>
    </font>
    <font>
      <name val="Aptos Narrow"/>
      <b val="1"/>
      <color rgb="001B211E"/>
      <sz val="18"/>
    </font>
    <font>
      <name val="Aptos Narrow"/>
      <b val="1"/>
      <color rgb="001B211E"/>
      <sz val="12"/>
    </font>
    <font>
      <name val="Aptos Narrow"/>
      <color rgb="005A6560"/>
      <sz val="9"/>
    </font>
    <font>
      <name val="Aptos Narrow"/>
      <b val="1"/>
      <color rgb="00792E2E"/>
      <sz val="10"/>
    </font>
    <font>
      <name val="Aptos Narrow"/>
      <b val="1"/>
      <color rgb="00C6A01F"/>
      <sz val="10"/>
    </font>
    <font>
      <name val="Aptos Narrow"/>
      <color rgb="001B211E"/>
      <sz val="9"/>
    </font>
    <font>
      <name val="Aptos Narrow"/>
      <b val="1"/>
      <color rgb="001F6F78"/>
      <sz val="10"/>
    </font>
    <font>
      <name val="Aptos Narrow"/>
      <b val="1"/>
      <color rgb="002E599D"/>
      <sz val="10"/>
    </font>
    <font>
      <name val="Aptos Narrow"/>
      <b val="1"/>
      <color rgb="004E8A5B"/>
      <sz val="10"/>
    </font>
    <font>
      <name val="Aptos Narrow"/>
      <b val="1"/>
      <color rgb="00795CA7"/>
      <sz val="10"/>
    </font>
    <font>
      <name val="Aptos Narrow"/>
      <b val="1"/>
      <color rgb="001B211E"/>
      <sz val="14"/>
    </font>
    <font>
      <name val="Aptos Narrow"/>
      <b val="1"/>
      <color rgb="00792E2E"/>
      <sz val="9"/>
    </font>
  </fonts>
  <fills count="9">
    <fill>
      <patternFill/>
    </fill>
    <fill>
      <patternFill patternType="gray125"/>
    </fill>
    <fill>
      <patternFill patternType="solid">
        <fgColor rgb="001B211E"/>
      </patternFill>
    </fill>
    <fill>
      <patternFill patternType="solid">
        <fgColor rgb="00E9E9E5"/>
      </patternFill>
    </fill>
    <fill>
      <patternFill patternType="solid">
        <fgColor rgb="00FBFBF8"/>
      </patternFill>
    </fill>
    <fill>
      <patternFill patternType="solid">
        <fgColor rgb="00FFFDF4"/>
      </patternFill>
    </fill>
    <fill>
      <patternFill patternType="solid">
        <fgColor rgb="00FDF7F7"/>
      </patternFill>
    </fill>
    <fill>
      <patternFill patternType="solid">
        <fgColor rgb="00792E2E"/>
      </patternFill>
    </fill>
    <fill>
      <patternFill patternType="solid">
        <fgColor rgb="00FFFFFF"/>
      </patternFill>
    </fill>
  </fills>
  <borders count="4">
    <border>
      <left/>
      <right/>
      <top/>
      <bottom/>
      <diagonal/>
    </border>
    <border>
      <bottom style="medium">
        <color rgb="001B211E"/>
      </bottom>
    </border>
    <border>
      <left style="thin">
        <color rgb="00C9CCC5"/>
      </left>
      <right style="thin">
        <color rgb="00C9CCC5"/>
      </right>
      <top style="thin">
        <color rgb="00C9CCC5"/>
      </top>
      <bottom style="thin">
        <color rgb="00C9CCC5"/>
      </bottom>
    </border>
    <border>
      <left style="thin">
        <color rgb="00C9CCC5"/>
      </left>
      <right style="thin">
        <color rgb="00C9CCC5"/>
      </right>
      <top style="medium">
        <color rgb="001B211E"/>
      </top>
      <bottom style="medium">
        <color rgb="001B211E"/>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center" wrapText="1"/>
    </xf>
    <xf numFmtId="0" fontId="4" fillId="2" borderId="0" applyAlignment="1" pivotButton="0" quotePrefix="0" xfId="0">
      <alignment horizontal="left" vertical="center" indent="1"/>
    </xf>
    <xf numFmtId="0" fontId="5" fillId="0" borderId="0" applyAlignment="1" pivotButton="0" quotePrefix="0" xfId="0">
      <alignment horizontal="left" vertical="top" wrapText="1"/>
    </xf>
    <xf numFmtId="0" fontId="1" fillId="3" borderId="0" applyAlignment="1" pivotButton="0" quotePrefix="0" xfId="0">
      <alignment horizontal="left" vertical="center" wrapText="1"/>
    </xf>
    <xf numFmtId="0" fontId="6"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9" fillId="0" borderId="0" pivotButton="0" quotePrefix="0" xfId="0"/>
    <xf numFmtId="0" fontId="10" fillId="0" borderId="0" pivotButton="0" quotePrefix="0" xfId="0"/>
    <xf numFmtId="0" fontId="9" fillId="0" borderId="0" applyAlignment="1" pivotButton="0" quotePrefix="0" xfId="0">
      <alignment horizontal="left" vertical="center" wrapText="1"/>
    </xf>
    <xf numFmtId="0" fontId="1" fillId="0" borderId="0" applyAlignment="1" pivotButton="0" quotePrefix="0" xfId="0">
      <alignment horizontal="left" vertical="bottom"/>
    </xf>
    <xf numFmtId="0" fontId="8" fillId="4" borderId="1" applyAlignment="1" pivotButton="0" quotePrefix="0" xfId="0">
      <alignment horizontal="center" vertical="bottom" wrapText="1"/>
    </xf>
    <xf numFmtId="0" fontId="11" fillId="0" borderId="0" applyAlignment="1" pivotButton="0" quotePrefix="0" xfId="0">
      <alignment horizontal="left" vertical="center" wrapText="1"/>
    </xf>
    <xf numFmtId="0" fontId="12" fillId="0" borderId="0" applyAlignment="1" pivotButton="0" quotePrefix="0" xfId="0">
      <alignment horizontal="left" vertical="center" wrapText="1"/>
    </xf>
    <xf numFmtId="164" fontId="20" fillId="8" borderId="3" applyAlignment="1" pivotButton="0" quotePrefix="0" xfId="0">
      <alignment horizontal="center" vertical="center" wrapText="1"/>
    </xf>
    <xf numFmtId="0" fontId="8" fillId="0" borderId="0" applyAlignment="1" pivotButton="0" quotePrefix="0" xfId="0">
      <alignment horizontal="left" vertical="center" wrapText="1"/>
    </xf>
    <xf numFmtId="0" fontId="21" fillId="3" borderId="2" applyAlignment="1" pivotButton="0" quotePrefix="0" xfId="0">
      <alignment horizontal="center" vertical="center" wrapText="1"/>
    </xf>
    <xf numFmtId="0" fontId="13" fillId="0" borderId="0" applyAlignment="1" pivotButton="0" quotePrefix="0" xfId="0">
      <alignment horizontal="left" vertical="center" wrapText="1"/>
    </xf>
    <xf numFmtId="1" fontId="13" fillId="3" borderId="2" applyAlignment="1" pivotButton="0" quotePrefix="0" xfId="0">
      <alignment horizontal="center" vertical="center" wrapText="1"/>
    </xf>
    <xf numFmtId="0" fontId="14"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15" fillId="5" borderId="2" applyAlignment="1" pivotButton="0" quotePrefix="0" xfId="0">
      <alignment horizontal="center" vertical="center" wrapText="1"/>
    </xf>
    <xf numFmtId="0" fontId="13" fillId="0" borderId="0" applyAlignment="1" pivotButton="0" quotePrefix="0" xfId="0">
      <alignment horizontal="center" vertical="center" wrapText="1"/>
    </xf>
    <xf numFmtId="0" fontId="15" fillId="6" borderId="2" applyAlignment="1" pivotButton="0" quotePrefix="0" xfId="0">
      <alignment horizontal="center" vertical="center" wrapText="1"/>
    </xf>
    <xf numFmtId="0" fontId="16" fillId="0" borderId="0" applyAlignment="1" pivotButton="0" quotePrefix="0" xfId="0">
      <alignment horizontal="center" vertical="center" wrapText="1"/>
    </xf>
    <xf numFmtId="0" fontId="15" fillId="4" borderId="2" applyAlignment="1" pivotButton="0" quotePrefix="0" xfId="0">
      <alignment horizontal="center" vertical="center" wrapText="1"/>
    </xf>
    <xf numFmtId="0" fontId="17" fillId="0" borderId="0" applyAlignment="1" pivotButton="0" quotePrefix="0" xfId="0">
      <alignment horizontal="center" vertical="center" wrapText="1"/>
    </xf>
    <xf numFmtId="0" fontId="18" fillId="0" borderId="0" applyAlignment="1" pivotButton="0" quotePrefix="0" xfId="0">
      <alignment horizontal="center" vertical="center" wrapText="1"/>
    </xf>
    <xf numFmtId="0" fontId="19"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4" fillId="7" borderId="0" applyAlignment="1" pivotButton="0" quotePrefix="0" xfId="0">
      <alignment horizontal="left" vertical="center" indent="1"/>
    </xf>
    <xf numFmtId="0" fontId="5" fillId="0" borderId="0" pivotButton="0" quotePrefix="0" xfId="0"/>
    <xf numFmtId="0" fontId="13" fillId="0" borderId="0" applyAlignment="1" pivotButton="0" quotePrefix="0" xfId="0">
      <alignment horizontal="left" vertical="top" wrapText="1"/>
    </xf>
    <xf numFmtId="0" fontId="9" fillId="0" borderId="0" applyAlignment="1" pivotButton="0" quotePrefix="0" xfId="0">
      <alignment horizontal="left" vertical="top" wrapText="1"/>
    </xf>
    <xf numFmtId="0" fontId="15" fillId="4" borderId="2" applyAlignment="1" pivotButton="0" quotePrefix="0" xfId="0">
      <alignment horizontal="left" vertical="top" wrapText="1"/>
    </xf>
  </cellXfs>
  <cellStyles count="1">
    <cellStyle name="Normal" xfId="0" builtinId="0" hidden="0"/>
  </cellStyles>
  <dxfs count="2">
    <dxf>
      <font>
        <b val="1"/>
        <color rgb="00FFFFFF"/>
      </font>
      <fill>
        <patternFill patternType="solid">
          <fgColor rgb="00792E2E"/>
        </patternFill>
      </fill>
    </dxf>
    <dxf>
      <font>
        <b val="1"/>
        <color rgb="007A2020"/>
      </font>
      <fill>
        <patternFill patternType="solid">
          <fgColor rgb="00F5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6A01F"/>
    <outlinePr summaryBelow="1" summaryRight="1"/>
    <pageSetUpPr/>
  </sheetPr>
  <dimension ref="B2:D82"/>
  <sheetViews>
    <sheetView showGridLines="0" workbookViewId="0">
      <selection activeCell="A1" sqref="A1"/>
    </sheetView>
  </sheetViews>
  <sheetFormatPr baseColWidth="8" defaultRowHeight="15"/>
  <cols>
    <col width="4" customWidth="1" min="1" max="1"/>
    <col width="15" customWidth="1" min="2" max="2"/>
    <col width="34" customWidth="1" min="3" max="3"/>
    <col width="100" customWidth="1" min="4" max="4"/>
  </cols>
  <sheetData>
    <row r="2">
      <c r="B2" s="1" t="inlineStr">
        <is>
          <t>COMPASSUS  ·  HOME HEALTH</t>
        </is>
      </c>
    </row>
    <row r="3" ht="32" customHeight="1">
      <c r="B3" s="2" t="inlineStr">
        <is>
          <t>Vendor Scorecard — Fast</t>
        </is>
      </c>
    </row>
    <row r="4">
      <c r="B4" s="3" t="inlineStr">
        <is>
          <t>The questionnaire is the rubric. Read the return top to bottom and fill the sheet top to bottom. Seven marks a vendor.</t>
        </is>
      </c>
    </row>
    <row r="6" ht="10" customHeight="1"/>
    <row r="7" ht="22" customHeight="1">
      <c r="B7" s="4" t="inlineStr">
        <is>
          <t>HOW IT WORKS</t>
        </is>
      </c>
    </row>
    <row r="8" ht="28" customHeight="1">
      <c r="B8" s="5" t="inlineStr">
        <is>
          <t>Every one of the 17 questions on the questionnaire has a row on the Scorecard tab, in the order it appears on the form. Seven rows take a mark. The rest raise a flag or a note — and they say so, so nothing looks forgotten. What isn't scored becomes what we go and ask at the demo.</t>
        </is>
      </c>
    </row>
    <row r="9" ht="28" customHeight="1">
      <c r="B9" s="5" t="inlineStr">
        <is>
          <t>Scored on the same 100 points and the same bands as the full scorecard, so the two are directly comparable. This one is coarser, not different: it gives one mark where the full sheet gives several, so the two can disagree on a close call. That is the trade for speed.</t>
        </is>
      </c>
    </row>
    <row r="10" ht="10" customHeight="1"/>
    <row r="11" ht="22" customHeight="1">
      <c r="B11" s="4" t="inlineStr">
        <is>
          <t>THE SEVEN MARKS</t>
        </is>
      </c>
    </row>
    <row r="12">
      <c r="B12" s="6" t="inlineStr">
        <is>
          <t>Question</t>
        </is>
      </c>
      <c r="C12" s="6" t="inlineStr">
        <is>
          <t>Mark</t>
        </is>
      </c>
      <c r="D12" s="6" t="inlineStr">
        <is>
          <t>Points</t>
        </is>
      </c>
    </row>
    <row r="13" ht="21" customHeight="1">
      <c r="B13" s="7" t="inlineStr">
        <is>
          <t>A1</t>
        </is>
      </c>
      <c r="C13" s="5" t="inlineStr">
        <is>
          <t>Home Care Home Base integration</t>
        </is>
      </c>
      <c r="D13" s="8" t="inlineStr">
        <is>
          <t>20</t>
        </is>
      </c>
    </row>
    <row r="14" ht="21" customHeight="1">
      <c r="B14" s="7" t="inlineStr">
        <is>
          <t>Section B</t>
        </is>
      </c>
      <c r="C14" s="5" t="inlineStr">
        <is>
          <t>Capacity — how much of it they cover</t>
        </is>
      </c>
      <c r="D14" s="8" t="inlineStr">
        <is>
          <t>12</t>
        </is>
      </c>
    </row>
    <row r="15" ht="21" customHeight="1">
      <c r="B15" s="7" t="inlineStr">
        <is>
          <t>Section B</t>
        </is>
      </c>
      <c r="C15" s="5" t="inlineStr">
        <is>
          <t>Scheduling — how much of it they cover</t>
        </is>
      </c>
      <c r="D15" s="8" t="inlineStr">
        <is>
          <t>12</t>
        </is>
      </c>
    </row>
    <row r="16" ht="21" customHeight="1">
      <c r="B16" s="7" t="inlineStr">
        <is>
          <t>Section B</t>
        </is>
      </c>
      <c r="C16" s="5" t="inlineStr">
        <is>
          <t>Engagement — how much of it they cover</t>
        </is>
      </c>
      <c r="D16" s="8" t="inlineStr">
        <is>
          <t>12</t>
        </is>
      </c>
    </row>
    <row r="17" ht="21" customHeight="1">
      <c r="B17" s="7" t="inlineStr">
        <is>
          <t>Section C</t>
        </is>
      </c>
      <c r="C17" s="5" t="inlineStr">
        <is>
          <t>Sophistication — how much of the work the product does</t>
        </is>
      </c>
      <c r="D17" s="8" t="inlineStr">
        <is>
          <t>20</t>
        </is>
      </c>
    </row>
    <row r="18" ht="21" customHeight="1">
      <c r="B18" s="7" t="inlineStr">
        <is>
          <t>D1–D3</t>
        </is>
      </c>
      <c r="C18" s="5" t="inlineStr">
        <is>
          <t>Clinician fit</t>
        </is>
      </c>
      <c r="D18" s="8" t="inlineStr">
        <is>
          <t>12</t>
        </is>
      </c>
    </row>
    <row r="19" ht="21" customHeight="1">
      <c r="B19" s="7" t="inlineStr">
        <is>
          <t>E1–E4</t>
        </is>
      </c>
      <c r="C19" s="5" t="inlineStr">
        <is>
          <t>Partnership</t>
        </is>
      </c>
      <c r="D19" s="8" t="inlineStr">
        <is>
          <t>12</t>
        </is>
      </c>
    </row>
    <row r="20" ht="21" customHeight="1">
      <c r="B20" s="7" t="inlineStr"/>
      <c r="C20" s="9" t="inlineStr">
        <is>
          <t>TOTAL</t>
        </is>
      </c>
      <c r="D20" s="8" t="inlineStr">
        <is>
          <t>100</t>
        </is>
      </c>
    </row>
    <row r="21" ht="10" customHeight="1"/>
    <row r="22" ht="22" customHeight="1">
      <c r="B22" s="4" t="inlineStr">
        <is>
          <t>A1  ·  HOME CARE HOME BASE   —   pick one line</t>
        </is>
      </c>
    </row>
    <row r="23" ht="28" customHeight="1">
      <c r="B23" s="5" t="inlineStr">
        <is>
          <t>Three of the six rungs are live integrations, because live through a partner is still live. Anything not yet live shows as Conditional on the score, whatever the total.</t>
        </is>
      </c>
    </row>
    <row r="24" ht="21" customHeight="1">
      <c r="B24" s="7" t="inlineStr">
        <is>
          <t>20</t>
        </is>
      </c>
      <c r="C24" s="5" t="inlineStr">
        <is>
          <t>Live — established customer base</t>
        </is>
      </c>
      <c r="D24" s="8" t="inlineStr"/>
    </row>
    <row r="25" ht="21" customHeight="1">
      <c r="B25" s="7" t="inlineStr">
        <is>
          <t>16</t>
        </is>
      </c>
      <c r="C25" s="5" t="inlineStr">
        <is>
          <t>Live — small customer base</t>
        </is>
      </c>
      <c r="D25" s="8" t="inlineStr"/>
    </row>
    <row r="26" ht="21" customHeight="1">
      <c r="B26" s="7" t="inlineStr">
        <is>
          <t>12</t>
        </is>
      </c>
      <c r="C26" s="5" t="inlineStr">
        <is>
          <t>Live — through a partner</t>
        </is>
      </c>
      <c r="D26" s="8" t="inlineStr"/>
    </row>
    <row r="27" ht="21" customHeight="1">
      <c r="B27" s="7" t="inlineStr">
        <is>
          <t>6</t>
        </is>
      </c>
      <c r="C27" s="5" t="inlineStr">
        <is>
          <t>In development — with a date</t>
        </is>
      </c>
      <c r="D27" s="8" t="inlineStr"/>
    </row>
    <row r="28" ht="21" customHeight="1">
      <c r="B28" s="7" t="inlineStr">
        <is>
          <t>2</t>
        </is>
      </c>
      <c r="C28" s="5" t="inlineStr">
        <is>
          <t>On the roadmap — no date</t>
        </is>
      </c>
      <c r="D28" s="8" t="inlineStr"/>
    </row>
    <row r="29" ht="21" customHeight="1">
      <c r="B29" s="7" t="inlineStr">
        <is>
          <t>0</t>
        </is>
      </c>
      <c r="C29" s="5" t="inlineStr">
        <is>
          <t>None, and no path to one</t>
        </is>
      </c>
      <c r="D29" s="8" t="inlineStr"/>
    </row>
    <row r="30" ht="10" customHeight="1"/>
    <row r="31" ht="22" customHeight="1">
      <c r="B31" s="4" t="inlineStr">
        <is>
          <t>SECTION B  ·  SCOPE   —   one mark per arena, 0 to 5</t>
        </is>
      </c>
    </row>
    <row r="32" ht="28" customHeight="1">
      <c r="B32" s="5" t="inlineStr">
        <is>
          <t>Read the eleven areas each vendor rated themselves on, then give one mark per arena. The areas in each arena are printed on the row, so the checklist is in front of you. Where Section C contradicts Section B, believe Section C.</t>
        </is>
      </c>
    </row>
    <row r="33" ht="41" customHeight="1">
      <c r="B33" s="5" t="inlineStr">
        <is>
          <t>The mark is your read of how much of that arena — as our one-pager describes it — the product reaches. It is not a count of areas: Capacity has 3 and the others 4, so counting would never divide cleanly, and an area covered thinly is not the same as one covered properly. Weigh breadth and depth together.</t>
        </is>
      </c>
    </row>
    <row r="34" ht="21" customHeight="1">
      <c r="B34" s="7" t="inlineStr">
        <is>
          <t>5</t>
        </is>
      </c>
      <c r="C34" s="5" t="inlineStr">
        <is>
          <t>Most of it</t>
        </is>
      </c>
      <c r="D34" s="8" t="inlineStr"/>
    </row>
    <row r="35" ht="21" customHeight="1">
      <c r="B35" s="7" t="inlineStr">
        <is>
          <t>4</t>
        </is>
      </c>
      <c r="C35" s="5" t="inlineStr">
        <is>
          <t>More than half</t>
        </is>
      </c>
      <c r="D35" s="8" t="inlineStr"/>
    </row>
    <row r="36" ht="21" customHeight="1">
      <c r="B36" s="7" t="inlineStr">
        <is>
          <t>3</t>
        </is>
      </c>
      <c r="C36" s="5" t="inlineStr">
        <is>
          <t>About half</t>
        </is>
      </c>
      <c r="D36" s="8" t="inlineStr"/>
    </row>
    <row r="37" ht="21" customHeight="1">
      <c r="B37" s="7" t="inlineStr">
        <is>
          <t>2</t>
        </is>
      </c>
      <c r="C37" s="5" t="inlineStr">
        <is>
          <t>Less than half</t>
        </is>
      </c>
      <c r="D37" s="8" t="inlineStr"/>
    </row>
    <row r="38" ht="21" customHeight="1">
      <c r="B38" s="7" t="inlineStr">
        <is>
          <t>1</t>
        </is>
      </c>
      <c r="C38" s="5" t="inlineStr">
        <is>
          <t>A corner of it</t>
        </is>
      </c>
      <c r="D38" s="8" t="inlineStr"/>
    </row>
    <row r="39" ht="21" customHeight="1">
      <c r="B39" s="7" t="inlineStr">
        <is>
          <t>0</t>
        </is>
      </c>
      <c r="C39" s="5" t="inlineStr">
        <is>
          <t>Nothing here</t>
        </is>
      </c>
      <c r="D39" s="8" t="inlineStr"/>
    </row>
    <row r="40" ht="28" customHeight="1">
      <c r="B40" s="5" t="inlineStr">
        <is>
          <t>Most of it is the ceiling on purpose. The scope on our one-pager is original and these are point solutions, so nobody will cover all of it — a rung for that would sit unused and squeeze everyone else into the bottom half of the scale. All six rungs here are live.</t>
        </is>
      </c>
    </row>
    <row r="41" ht="10" customHeight="1"/>
    <row r="42" ht="22" customHeight="1">
      <c r="B42" s="4" t="inlineStr">
        <is>
          <t>SECTION C  ·  SOPHISTICATION   —   one mark, 0 to 4</t>
        </is>
      </c>
    </row>
    <row r="43" ht="41" customHeight="1">
      <c r="B43" s="5" t="inlineStr">
        <is>
          <t>How much of the work the product does. This is the Read / Assist / Control language already in our workbook. Score what the product does, not how much the vendor wrote about it — a short answer describing an optimiser still scores 4. How it does it is a demo question, not a reason to mark it down.</t>
        </is>
      </c>
    </row>
    <row r="44" ht="21" customHeight="1">
      <c r="B44" s="7" t="inlineStr">
        <is>
          <t>4</t>
        </is>
      </c>
      <c r="C44" s="5" t="inlineStr">
        <is>
          <t>Runs it — decides across the whole picture, and re-decides when things change</t>
        </is>
      </c>
      <c r="D44" s="8" t="inlineStr"/>
    </row>
    <row r="45" ht="21" customHeight="1">
      <c r="B45" s="7" t="inlineStr">
        <is>
          <t>3</t>
        </is>
      </c>
      <c r="C45" s="5" t="inlineStr">
        <is>
          <t>Recommends it — works out the answer and proposes it; a person confirms</t>
        </is>
      </c>
      <c r="D45" s="8" t="inlineStr"/>
    </row>
    <row r="46" ht="21" customHeight="1">
      <c r="B46" s="7" t="inlineStr">
        <is>
          <t>2</t>
        </is>
      </c>
      <c r="C46" s="5" t="inlineStr">
        <is>
          <t>Checks it — applies rules and flags problems; a person still works it</t>
        </is>
      </c>
      <c r="D46" s="8" t="inlineStr"/>
    </row>
    <row r="47" ht="21" customHeight="1">
      <c r="B47" s="7" t="inlineStr">
        <is>
          <t>1</t>
        </is>
      </c>
      <c r="C47" s="5" t="inlineStr">
        <is>
          <t>Shows it — surfaces the information; a person does all the work</t>
        </is>
      </c>
      <c r="D47" s="8" t="inlineStr"/>
    </row>
    <row r="48" ht="21" customHeight="1">
      <c r="B48" s="7" t="inlineStr">
        <is>
          <t>0</t>
        </is>
      </c>
      <c r="C48" s="5" t="inlineStr">
        <is>
          <t>Not addressed</t>
        </is>
      </c>
      <c r="D48" s="8" t="inlineStr"/>
    </row>
    <row r="49" ht="15" customHeight="1">
      <c r="B49" s="5" t="inlineStr">
        <is>
          <t>A 4 is not automatically what we want. Where we said Assist, a product that decides on its own is a risk worth a note.</t>
        </is>
      </c>
    </row>
    <row r="50" ht="10" customHeight="1"/>
    <row r="51" ht="22" customHeight="1">
      <c r="B51" s="4" t="inlineStr">
        <is>
          <t>SECTION D  ·  CLINICIAN FIT   —   one mark, 0 to 4</t>
        </is>
      </c>
    </row>
    <row r="52" ht="21" customHeight="1">
      <c r="B52" s="7" t="inlineStr">
        <is>
          <t>4</t>
        </is>
      </c>
      <c r="C52" s="5" t="inlineStr">
        <is>
          <t>Strong fit</t>
        </is>
      </c>
      <c r="D52" s="8" t="inlineStr"/>
    </row>
    <row r="53" ht="21" customHeight="1">
      <c r="B53" s="7" t="inlineStr">
        <is>
          <t>3</t>
        </is>
      </c>
      <c r="C53" s="5" t="inlineStr">
        <is>
          <t>Good fit</t>
        </is>
      </c>
      <c r="D53" s="8" t="inlineStr"/>
    </row>
    <row r="54" ht="21" customHeight="1">
      <c r="B54" s="7" t="inlineStr">
        <is>
          <t>2</t>
        </is>
      </c>
      <c r="C54" s="5" t="inlineStr">
        <is>
          <t>Workable</t>
        </is>
      </c>
      <c r="D54" s="8" t="inlineStr"/>
    </row>
    <row r="55" ht="21" customHeight="1">
      <c r="B55" s="7" t="inlineStr">
        <is>
          <t>1</t>
        </is>
      </c>
      <c r="C55" s="5" t="inlineStr">
        <is>
          <t>Poor fit</t>
        </is>
      </c>
      <c r="D55" s="8" t="inlineStr"/>
    </row>
    <row r="56" ht="21" customHeight="1">
      <c r="B56" s="7" t="inlineStr">
        <is>
          <t>0</t>
        </is>
      </c>
      <c r="C56" s="5" t="inlineStr">
        <is>
          <t>Not answered</t>
        </is>
      </c>
      <c r="D56" s="8" t="inlineStr"/>
    </row>
    <row r="57" ht="28" customHeight="1">
      <c r="B57" s="5" t="inlineStr">
        <is>
          <t>No descriptions here on purpose. Read D1 to D3 and give it your own read. We know how our clinicians work and what they will accept; a rubric that spelled out what earns a 4 would only substitute a guess for that.</t>
        </is>
      </c>
    </row>
    <row r="58" ht="15" customHeight="1">
      <c r="B58" s="5" t="inlineStr">
        <is>
          <t>Say why in the Notes, though — that one line is what a colleague reads when they score the same vendor differently.</t>
        </is>
      </c>
    </row>
    <row r="59" ht="10" customHeight="1"/>
    <row r="60" ht="22" customHeight="1">
      <c r="B60" s="4" t="inlineStr">
        <is>
          <t>SECTION E  ·  PARTNERSHIP   —   one mark, 0 to 4</t>
        </is>
      </c>
    </row>
    <row r="61" ht="28" customHeight="1">
      <c r="B61" s="5" t="inlineStr">
        <is>
          <t>What we are looking for is a company with the willingness and the environment to build this with us around our needs — and open to us holding equity, so that a product for the general market becomes a real possibility. The rungs run from vendor to co-owner.</t>
        </is>
      </c>
    </row>
    <row r="62" ht="21" customHeight="1">
      <c r="B62" s="7" t="inlineStr">
        <is>
          <t>4</t>
        </is>
      </c>
      <c r="C62" s="5" t="inlineStr">
        <is>
          <t>Open to equity or a stake in what we build, and set up to build it with us</t>
        </is>
      </c>
      <c r="D62" s="8" t="inlineStr"/>
    </row>
    <row r="63" ht="21" customHeight="1">
      <c r="B63" s="7" t="inlineStr">
        <is>
          <t>3</t>
        </is>
      </c>
      <c r="C63" s="5" t="inlineStr">
        <is>
          <t>Ready to build to our needs as a design partner; ownership not addressed</t>
        </is>
      </c>
      <c r="D63" s="8" t="inlineStr"/>
    </row>
    <row r="64" ht="21" customHeight="1">
      <c r="B64" s="7" t="inlineStr">
        <is>
          <t>2</t>
        </is>
      </c>
      <c r="C64" s="5" t="inlineStr">
        <is>
          <t>Will take our input, but they own the roadmap and the product</t>
        </is>
      </c>
      <c r="D64" s="8" t="inlineStr"/>
    </row>
    <row r="65" ht="21" customHeight="1">
      <c r="B65" s="7" t="inlineStr">
        <is>
          <t>1</t>
        </is>
      </c>
      <c r="C65" s="5" t="inlineStr">
        <is>
          <t>A standard customer relationship — we buy what already exists</t>
        </is>
      </c>
      <c r="D65" s="8" t="inlineStr"/>
    </row>
    <row r="66" ht="21" customHeight="1">
      <c r="B66" s="7" t="inlineStr">
        <is>
          <t>0</t>
        </is>
      </c>
      <c r="C66" s="5" t="inlineStr">
        <is>
          <t>Not answered</t>
        </is>
      </c>
      <c r="D66" s="8" t="inlineStr"/>
    </row>
    <row r="67" ht="28" customHeight="1">
      <c r="B67" s="5" t="inlineStr">
        <is>
          <t>Read all four E answers, not only E2. A vendor who never mentions ownership but describes a real co-development practice is a 3, and worth the conversation. A discount is a discount.</t>
        </is>
      </c>
    </row>
    <row r="68" ht="10" customHeight="1"/>
    <row r="69" ht="22" customHeight="1">
      <c r="B69" s="4" t="inlineStr">
        <is>
          <t>THE THREE QUESTIONS THAT RAISE A FLAG INSTEAD</t>
        </is>
      </c>
    </row>
    <row r="70" ht="28" customHeight="1">
      <c r="B70" s="5" t="inlineStr">
        <is>
          <t>A vendor with no continuity commitment should be stopped and asked, not quietly docked a few points. Same for a vendor with one customer, or impact numbers with no baseline. Mark these OK, Watch or STOP-CHECK.</t>
        </is>
      </c>
    </row>
    <row r="71" ht="21" customHeight="1">
      <c r="B71" s="7" t="inlineStr">
        <is>
          <t>A2</t>
        </is>
      </c>
      <c r="C71" s="5" t="inlineStr">
        <is>
          <t>Customers, scale and references — STOP-CHECK if one customer, or no references offered</t>
        </is>
      </c>
      <c r="D71" s="8" t="inlineStr"/>
    </row>
    <row r="72" ht="21" customHeight="1">
      <c r="B72" s="7" t="inlineStr">
        <is>
          <t>A3</t>
        </is>
      </c>
      <c r="C72" s="5" t="inlineStr">
        <is>
          <t>Measured impact — Watch if claimed with no baseline or period</t>
        </is>
      </c>
      <c r="D72" s="8" t="inlineStr"/>
    </row>
    <row r="73" ht="21" customHeight="1">
      <c r="B73" s="7" t="inlineStr">
        <is>
          <t>C6</t>
        </is>
      </c>
      <c r="C73" s="5" t="inlineStr">
        <is>
          <t>When your product is down — STOP-CHECK if no uptime figure or contractual commitment</t>
        </is>
      </c>
      <c r="D73" s="8" t="inlineStr"/>
    </row>
    <row r="74" ht="10" customHeight="1"/>
    <row r="75" ht="22" customHeight="1">
      <c r="B75" s="4" t="inlineStr">
        <is>
          <t>BANDS   —   the same as the full scorecard</t>
        </is>
      </c>
    </row>
    <row r="76" ht="21" customHeight="1">
      <c r="B76" s="7" t="inlineStr">
        <is>
          <t>80–100</t>
        </is>
      </c>
      <c r="C76" s="5" t="inlineStr">
        <is>
          <t>Advance — demo, references, deeper diligence</t>
        </is>
      </c>
      <c r="D76" s="8" t="inlineStr"/>
    </row>
    <row r="77" ht="21" customHeight="1">
      <c r="B77" s="7" t="inlineStr">
        <is>
          <t>65–79</t>
        </is>
      </c>
      <c r="C77" s="5" t="inlineStr">
        <is>
          <t>Consider — only if something specific justifies it</t>
        </is>
      </c>
      <c r="D77" s="8" t="inlineStr"/>
    </row>
    <row r="78" ht="21" customHeight="1">
      <c r="B78" s="7" t="inlineStr">
        <is>
          <t>50–64</t>
        </is>
      </c>
      <c r="C78" s="5" t="inlineStr">
        <is>
          <t>Hold — park unless the field thins</t>
        </is>
      </c>
      <c r="D78" s="8" t="inlineStr"/>
    </row>
    <row r="79" ht="21" customHeight="1">
      <c r="B79" s="7" t="inlineStr">
        <is>
          <t>&lt; 50</t>
        </is>
      </c>
      <c r="C79" s="5" t="inlineStr">
        <is>
          <t>Decline — close out with thanks</t>
        </is>
      </c>
      <c r="D79" s="8" t="inlineStr"/>
    </row>
    <row r="80" ht="34" customHeight="1">
      <c r="B80" s="7" t="inlineStr">
        <is>
          <t>Conditional</t>
        </is>
      </c>
      <c r="C80" s="5" t="inlineStr">
        <is>
          <t>Shown whenever the integration is not yet live. Advancing means accepting an integration still to be built, on their timeline, at our risk.</t>
        </is>
      </c>
      <c r="D80" s="8" t="inlineStr"/>
    </row>
    <row r="82">
      <c r="B82" s="10" t="inlineStr">
        <is>
          <t>Fast scorecard v2.0  ·  questionnaire form_version 2026-08-19</t>
        </is>
      </c>
    </row>
  </sheetData>
  <mergeCells count="23">
    <mergeCell ref="B11:D11"/>
    <mergeCell ref="B42:D42"/>
    <mergeCell ref="B60:D60"/>
    <mergeCell ref="B67:D67"/>
    <mergeCell ref="B23:D23"/>
    <mergeCell ref="B61:D61"/>
    <mergeCell ref="B57:D57"/>
    <mergeCell ref="B8:D8"/>
    <mergeCell ref="B69:D69"/>
    <mergeCell ref="B49:D49"/>
    <mergeCell ref="B40:D40"/>
    <mergeCell ref="B9:D9"/>
    <mergeCell ref="B51:D51"/>
    <mergeCell ref="B33:D33"/>
    <mergeCell ref="B32:D32"/>
    <mergeCell ref="B4:D4"/>
    <mergeCell ref="B75:D75"/>
    <mergeCell ref="B7:D7"/>
    <mergeCell ref="B31:D31"/>
    <mergeCell ref="B22:D22"/>
    <mergeCell ref="B58:D58"/>
    <mergeCell ref="B70:D70"/>
    <mergeCell ref="B43:D43"/>
  </mergeCells>
  <pageMargins left="0.75" right="0.75" top="1" bottom="1" header="0.5" footer="0.5"/>
</worksheet>
</file>

<file path=xl/worksheets/sheet2.xml><?xml version="1.0" encoding="utf-8"?>
<worksheet xmlns="http://schemas.openxmlformats.org/spreadsheetml/2006/main">
  <sheetPr>
    <tabColor rgb="001B211E"/>
    <outlinePr summaryBelow="1" summaryRight="1"/>
    <pageSetUpPr/>
  </sheetPr>
  <dimension ref="B2:T36"/>
  <sheetViews>
    <sheetView showGridLines="0" zoomScale="90" workbookViewId="0">
      <pane xSplit="4" ySplit="6" topLeftCell="E7"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34" customWidth="1" min="3" max="3"/>
    <col width="4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2">
      <c r="B2" s="1" t="inlineStr">
        <is>
          <t>COMPASSUS  ·  HOME HEALTH</t>
        </is>
      </c>
    </row>
    <row r="3" ht="26" customHeight="1">
      <c r="B3" s="11" t="inlineStr">
        <is>
          <t>Vendor Scorecard — Fast</t>
        </is>
      </c>
    </row>
    <row r="4">
      <c r="B4" s="12" t="inlineStr">
        <is>
          <t>The rows are the questionnaire, in order. Seven take a mark; three raise a flag; the rest are notes. Grey cells are formulas.</t>
        </is>
      </c>
    </row>
    <row r="6" ht="42" customHeight="1">
      <c r="B6" s="13" t="inlineStr">
        <is>
          <t>VENDOR</t>
        </is>
      </c>
      <c r="E6" s="14" t="inlineStr">
        <is>
          <t>Vendor 01</t>
        </is>
      </c>
      <c r="F6" s="14" t="inlineStr">
        <is>
          <t>Vendor 02</t>
        </is>
      </c>
      <c r="G6" s="14" t="inlineStr">
        <is>
          <t>Vendor 03</t>
        </is>
      </c>
      <c r="H6" s="14" t="inlineStr">
        <is>
          <t>Vendor 04</t>
        </is>
      </c>
      <c r="I6" s="14" t="inlineStr">
        <is>
          <t>Vendor 05</t>
        </is>
      </c>
      <c r="J6" s="14" t="inlineStr">
        <is>
          <t>Vendor 06</t>
        </is>
      </c>
      <c r="K6" s="14" t="inlineStr">
        <is>
          <t>Vendor 07</t>
        </is>
      </c>
      <c r="L6" s="14" t="inlineStr">
        <is>
          <t>Vendor 08</t>
        </is>
      </c>
      <c r="M6" s="14" t="inlineStr">
        <is>
          <t>Vendor 09</t>
        </is>
      </c>
      <c r="N6" s="14" t="inlineStr">
        <is>
          <t>Vendor 10</t>
        </is>
      </c>
      <c r="O6" s="14" t="inlineStr">
        <is>
          <t>Vendor 11</t>
        </is>
      </c>
      <c r="P6" s="14" t="inlineStr">
        <is>
          <t>Vendor 12</t>
        </is>
      </c>
      <c r="Q6" s="14" t="inlineStr">
        <is>
          <t>Vendor 13</t>
        </is>
      </c>
      <c r="R6" s="14" t="inlineStr">
        <is>
          <t>Vendor 14</t>
        </is>
      </c>
      <c r="S6" s="14" t="inlineStr">
        <is>
          <t>Vendor 15</t>
        </is>
      </c>
      <c r="T6" s="14" t="inlineStr">
        <is>
          <t>Vendor 16</t>
        </is>
      </c>
    </row>
    <row r="8" ht="21" customHeight="1">
      <c r="B8" s="4" t="inlineStr">
        <is>
          <t>SCORE</t>
        </is>
      </c>
    </row>
    <row r="9" ht="26" customHeight="1">
      <c r="B9" s="15" t="inlineStr">
        <is>
          <t>TOTAL</t>
        </is>
      </c>
      <c r="C9" s="16" t="inlineStr">
        <is>
          <t>of 100</t>
        </is>
      </c>
      <c r="E9" s="17">
        <f>IFERROR(VLOOKUP(E14,Lists!$B$2:$C$7,2,FALSE),0)+IFERROR(VALUE(LEFT(E19,1)),0)/5*12+IFERROR(VALUE(LEFT(E20,1)),0)/5*12+IFERROR(VALUE(LEFT(E21,1)),0)/5*12+IFERROR(VALUE(LEFT(E24,1)),0)/4*20+IFERROR(VALUE(LEFT(E28,1)),0)/4*12+IFERROR(VALUE(LEFT(E31,1)),0)/4*12</f>
        <v/>
      </c>
      <c r="F9" s="17">
        <f>IFERROR(VLOOKUP(F14,Lists!$B$2:$C$7,2,FALSE),0)+IFERROR(VALUE(LEFT(F19,1)),0)/5*12+IFERROR(VALUE(LEFT(F20,1)),0)/5*12+IFERROR(VALUE(LEFT(F21,1)),0)/5*12+IFERROR(VALUE(LEFT(F24,1)),0)/4*20+IFERROR(VALUE(LEFT(F28,1)),0)/4*12+IFERROR(VALUE(LEFT(F31,1)),0)/4*12</f>
        <v/>
      </c>
      <c r="G9" s="17">
        <f>IFERROR(VLOOKUP(G14,Lists!$B$2:$C$7,2,FALSE),0)+IFERROR(VALUE(LEFT(G19,1)),0)/5*12+IFERROR(VALUE(LEFT(G20,1)),0)/5*12+IFERROR(VALUE(LEFT(G21,1)),0)/5*12+IFERROR(VALUE(LEFT(G24,1)),0)/4*20+IFERROR(VALUE(LEFT(G28,1)),0)/4*12+IFERROR(VALUE(LEFT(G31,1)),0)/4*12</f>
        <v/>
      </c>
      <c r="H9" s="17">
        <f>IFERROR(VLOOKUP(H14,Lists!$B$2:$C$7,2,FALSE),0)+IFERROR(VALUE(LEFT(H19,1)),0)/5*12+IFERROR(VALUE(LEFT(H20,1)),0)/5*12+IFERROR(VALUE(LEFT(H21,1)),0)/5*12+IFERROR(VALUE(LEFT(H24,1)),0)/4*20+IFERROR(VALUE(LEFT(H28,1)),0)/4*12+IFERROR(VALUE(LEFT(H31,1)),0)/4*12</f>
        <v/>
      </c>
      <c r="I9" s="17">
        <f>IFERROR(VLOOKUP(I14,Lists!$B$2:$C$7,2,FALSE),0)+IFERROR(VALUE(LEFT(I19,1)),0)/5*12+IFERROR(VALUE(LEFT(I20,1)),0)/5*12+IFERROR(VALUE(LEFT(I21,1)),0)/5*12+IFERROR(VALUE(LEFT(I24,1)),0)/4*20+IFERROR(VALUE(LEFT(I28,1)),0)/4*12+IFERROR(VALUE(LEFT(I31,1)),0)/4*12</f>
        <v/>
      </c>
      <c r="J9" s="17">
        <f>IFERROR(VLOOKUP(J14,Lists!$B$2:$C$7,2,FALSE),0)+IFERROR(VALUE(LEFT(J19,1)),0)/5*12+IFERROR(VALUE(LEFT(J20,1)),0)/5*12+IFERROR(VALUE(LEFT(J21,1)),0)/5*12+IFERROR(VALUE(LEFT(J24,1)),0)/4*20+IFERROR(VALUE(LEFT(J28,1)),0)/4*12+IFERROR(VALUE(LEFT(J31,1)),0)/4*12</f>
        <v/>
      </c>
      <c r="K9" s="17">
        <f>IFERROR(VLOOKUP(K14,Lists!$B$2:$C$7,2,FALSE),0)+IFERROR(VALUE(LEFT(K19,1)),0)/5*12+IFERROR(VALUE(LEFT(K20,1)),0)/5*12+IFERROR(VALUE(LEFT(K21,1)),0)/5*12+IFERROR(VALUE(LEFT(K24,1)),0)/4*20+IFERROR(VALUE(LEFT(K28,1)),0)/4*12+IFERROR(VALUE(LEFT(K31,1)),0)/4*12</f>
        <v/>
      </c>
      <c r="L9" s="17">
        <f>IFERROR(VLOOKUP(L14,Lists!$B$2:$C$7,2,FALSE),0)+IFERROR(VALUE(LEFT(L19,1)),0)/5*12+IFERROR(VALUE(LEFT(L20,1)),0)/5*12+IFERROR(VALUE(LEFT(L21,1)),0)/5*12+IFERROR(VALUE(LEFT(L24,1)),0)/4*20+IFERROR(VALUE(LEFT(L28,1)),0)/4*12+IFERROR(VALUE(LEFT(L31,1)),0)/4*12</f>
        <v/>
      </c>
      <c r="M9" s="17">
        <f>IFERROR(VLOOKUP(M14,Lists!$B$2:$C$7,2,FALSE),0)+IFERROR(VALUE(LEFT(M19,1)),0)/5*12+IFERROR(VALUE(LEFT(M20,1)),0)/5*12+IFERROR(VALUE(LEFT(M21,1)),0)/5*12+IFERROR(VALUE(LEFT(M24,1)),0)/4*20+IFERROR(VALUE(LEFT(M28,1)),0)/4*12+IFERROR(VALUE(LEFT(M31,1)),0)/4*12</f>
        <v/>
      </c>
      <c r="N9" s="17">
        <f>IFERROR(VLOOKUP(N14,Lists!$B$2:$C$7,2,FALSE),0)+IFERROR(VALUE(LEFT(N19,1)),0)/5*12+IFERROR(VALUE(LEFT(N20,1)),0)/5*12+IFERROR(VALUE(LEFT(N21,1)),0)/5*12+IFERROR(VALUE(LEFT(N24,1)),0)/4*20+IFERROR(VALUE(LEFT(N28,1)),0)/4*12+IFERROR(VALUE(LEFT(N31,1)),0)/4*12</f>
        <v/>
      </c>
      <c r="O9" s="17">
        <f>IFERROR(VLOOKUP(O14,Lists!$B$2:$C$7,2,FALSE),0)+IFERROR(VALUE(LEFT(O19,1)),0)/5*12+IFERROR(VALUE(LEFT(O20,1)),0)/5*12+IFERROR(VALUE(LEFT(O21,1)),0)/5*12+IFERROR(VALUE(LEFT(O24,1)),0)/4*20+IFERROR(VALUE(LEFT(O28,1)),0)/4*12+IFERROR(VALUE(LEFT(O31,1)),0)/4*12</f>
        <v/>
      </c>
      <c r="P9" s="17">
        <f>IFERROR(VLOOKUP(P14,Lists!$B$2:$C$7,2,FALSE),0)+IFERROR(VALUE(LEFT(P19,1)),0)/5*12+IFERROR(VALUE(LEFT(P20,1)),0)/5*12+IFERROR(VALUE(LEFT(P21,1)),0)/5*12+IFERROR(VALUE(LEFT(P24,1)),0)/4*20+IFERROR(VALUE(LEFT(P28,1)),0)/4*12+IFERROR(VALUE(LEFT(P31,1)),0)/4*12</f>
        <v/>
      </c>
      <c r="Q9" s="17">
        <f>IFERROR(VLOOKUP(Q14,Lists!$B$2:$C$7,2,FALSE),0)+IFERROR(VALUE(LEFT(Q19,1)),0)/5*12+IFERROR(VALUE(LEFT(Q20,1)),0)/5*12+IFERROR(VALUE(LEFT(Q21,1)),0)/5*12+IFERROR(VALUE(LEFT(Q24,1)),0)/4*20+IFERROR(VALUE(LEFT(Q28,1)),0)/4*12+IFERROR(VALUE(LEFT(Q31,1)),0)/4*12</f>
        <v/>
      </c>
      <c r="R9" s="17">
        <f>IFERROR(VLOOKUP(R14,Lists!$B$2:$C$7,2,FALSE),0)+IFERROR(VALUE(LEFT(R19,1)),0)/5*12+IFERROR(VALUE(LEFT(R20,1)),0)/5*12+IFERROR(VALUE(LEFT(R21,1)),0)/5*12+IFERROR(VALUE(LEFT(R24,1)),0)/4*20+IFERROR(VALUE(LEFT(R28,1)),0)/4*12+IFERROR(VALUE(LEFT(R31,1)),0)/4*12</f>
        <v/>
      </c>
      <c r="S9" s="17">
        <f>IFERROR(VLOOKUP(S14,Lists!$B$2:$C$7,2,FALSE),0)+IFERROR(VALUE(LEFT(S19,1)),0)/5*12+IFERROR(VALUE(LEFT(S20,1)),0)/5*12+IFERROR(VALUE(LEFT(S21,1)),0)/5*12+IFERROR(VALUE(LEFT(S24,1)),0)/4*20+IFERROR(VALUE(LEFT(S28,1)),0)/4*12+IFERROR(VALUE(LEFT(S31,1)),0)/4*12</f>
        <v/>
      </c>
      <c r="T9" s="17">
        <f>IFERROR(VLOOKUP(T14,Lists!$B$2:$C$7,2,FALSE),0)+IFERROR(VALUE(LEFT(T19,1)),0)/5*12+IFERROR(VALUE(LEFT(T20,1)),0)/5*12+IFERROR(VALUE(LEFT(T21,1)),0)/5*12+IFERROR(VALUE(LEFT(T24,1)),0)/4*20+IFERROR(VALUE(LEFT(T28,1)),0)/4*12+IFERROR(VALUE(LEFT(T31,1)),0)/4*12</f>
        <v/>
      </c>
    </row>
    <row r="10">
      <c r="B10" s="18" t="inlineStr">
        <is>
          <t>Band</t>
        </is>
      </c>
      <c r="C10" s="16" t="inlineStr">
        <is>
          <t>80 Advance · 65 Consider · 50 Hold</t>
        </is>
      </c>
      <c r="E10" s="19">
        <f>IF(IFERROR(VLOOKUP(E14,Lists!$B$2:$C$7,2,FALSE),0)&lt;12,"Conditional — ","")&amp;IF(E9&gt;=80,"Advance",IF(E9&gt;=65,"Consider",IF(E9&gt;=50,"Hold","Decline")))</f>
        <v/>
      </c>
      <c r="F10" s="19">
        <f>IF(IFERROR(VLOOKUP(F14,Lists!$B$2:$C$7,2,FALSE),0)&lt;12,"Conditional — ","")&amp;IF(F9&gt;=80,"Advance",IF(F9&gt;=65,"Consider",IF(F9&gt;=50,"Hold","Decline")))</f>
        <v/>
      </c>
      <c r="G10" s="19">
        <f>IF(IFERROR(VLOOKUP(G14,Lists!$B$2:$C$7,2,FALSE),0)&lt;12,"Conditional — ","")&amp;IF(G9&gt;=80,"Advance",IF(G9&gt;=65,"Consider",IF(G9&gt;=50,"Hold","Decline")))</f>
        <v/>
      </c>
      <c r="H10" s="19">
        <f>IF(IFERROR(VLOOKUP(H14,Lists!$B$2:$C$7,2,FALSE),0)&lt;12,"Conditional — ","")&amp;IF(H9&gt;=80,"Advance",IF(H9&gt;=65,"Consider",IF(H9&gt;=50,"Hold","Decline")))</f>
        <v/>
      </c>
      <c r="I10" s="19">
        <f>IF(IFERROR(VLOOKUP(I14,Lists!$B$2:$C$7,2,FALSE),0)&lt;12,"Conditional — ","")&amp;IF(I9&gt;=80,"Advance",IF(I9&gt;=65,"Consider",IF(I9&gt;=50,"Hold","Decline")))</f>
        <v/>
      </c>
      <c r="J10" s="19">
        <f>IF(IFERROR(VLOOKUP(J14,Lists!$B$2:$C$7,2,FALSE),0)&lt;12,"Conditional — ","")&amp;IF(J9&gt;=80,"Advance",IF(J9&gt;=65,"Consider",IF(J9&gt;=50,"Hold","Decline")))</f>
        <v/>
      </c>
      <c r="K10" s="19">
        <f>IF(IFERROR(VLOOKUP(K14,Lists!$B$2:$C$7,2,FALSE),0)&lt;12,"Conditional — ","")&amp;IF(K9&gt;=80,"Advance",IF(K9&gt;=65,"Consider",IF(K9&gt;=50,"Hold","Decline")))</f>
        <v/>
      </c>
      <c r="L10" s="19">
        <f>IF(IFERROR(VLOOKUP(L14,Lists!$B$2:$C$7,2,FALSE),0)&lt;12,"Conditional — ","")&amp;IF(L9&gt;=80,"Advance",IF(L9&gt;=65,"Consider",IF(L9&gt;=50,"Hold","Decline")))</f>
        <v/>
      </c>
      <c r="M10" s="19">
        <f>IF(IFERROR(VLOOKUP(M14,Lists!$B$2:$C$7,2,FALSE),0)&lt;12,"Conditional — ","")&amp;IF(M9&gt;=80,"Advance",IF(M9&gt;=65,"Consider",IF(M9&gt;=50,"Hold","Decline")))</f>
        <v/>
      </c>
      <c r="N10" s="19">
        <f>IF(IFERROR(VLOOKUP(N14,Lists!$B$2:$C$7,2,FALSE),0)&lt;12,"Conditional — ","")&amp;IF(N9&gt;=80,"Advance",IF(N9&gt;=65,"Consider",IF(N9&gt;=50,"Hold","Decline")))</f>
        <v/>
      </c>
      <c r="O10" s="19">
        <f>IF(IFERROR(VLOOKUP(O14,Lists!$B$2:$C$7,2,FALSE),0)&lt;12,"Conditional — ","")&amp;IF(O9&gt;=80,"Advance",IF(O9&gt;=65,"Consider",IF(O9&gt;=50,"Hold","Decline")))</f>
        <v/>
      </c>
      <c r="P10" s="19">
        <f>IF(IFERROR(VLOOKUP(P14,Lists!$B$2:$C$7,2,FALSE),0)&lt;12,"Conditional — ","")&amp;IF(P9&gt;=80,"Advance",IF(P9&gt;=65,"Consider",IF(P9&gt;=50,"Hold","Decline")))</f>
        <v/>
      </c>
      <c r="Q10" s="19">
        <f>IF(IFERROR(VLOOKUP(Q14,Lists!$B$2:$C$7,2,FALSE),0)&lt;12,"Conditional — ","")&amp;IF(Q9&gt;=80,"Advance",IF(Q9&gt;=65,"Consider",IF(Q9&gt;=50,"Hold","Decline")))</f>
        <v/>
      </c>
      <c r="R10" s="19">
        <f>IF(IFERROR(VLOOKUP(R14,Lists!$B$2:$C$7,2,FALSE),0)&lt;12,"Conditional — ","")&amp;IF(R9&gt;=80,"Advance",IF(R9&gt;=65,"Consider",IF(R9&gt;=50,"Hold","Decline")))</f>
        <v/>
      </c>
      <c r="S10" s="19">
        <f>IF(IFERROR(VLOOKUP(S14,Lists!$B$2:$C$7,2,FALSE),0)&lt;12,"Conditional — ","")&amp;IF(S9&gt;=80,"Advance",IF(S9&gt;=65,"Consider",IF(S9&gt;=50,"Hold","Decline")))</f>
        <v/>
      </c>
      <c r="T10" s="19">
        <f>IF(IFERROR(VLOOKUP(T14,Lists!$B$2:$C$7,2,FALSE),0)&lt;12,"Conditional — ","")&amp;IF(T9&gt;=80,"Advance",IF(T9&gt;=65,"Consider",IF(T9&gt;=50,"Hold","Decline")))</f>
        <v/>
      </c>
    </row>
    <row r="11">
      <c r="B11" s="20" t="inlineStr">
        <is>
          <t>Flags</t>
        </is>
      </c>
      <c r="C11" s="16" t="inlineStr">
        <is>
          <t>stop-checks raised, of three</t>
        </is>
      </c>
      <c r="E11" s="21">
        <f>(IF(E15="STOP-CHECK",1,0)+IF(E16="STOP-CHECK",1,0)+IF(E25="STOP-CHECK",1,0))</f>
        <v/>
      </c>
      <c r="F11" s="21">
        <f>(IF(F15="STOP-CHECK",1,0)+IF(F16="STOP-CHECK",1,0)+IF(F25="STOP-CHECK",1,0))</f>
        <v/>
      </c>
      <c r="G11" s="21">
        <f>(IF(G15="STOP-CHECK",1,0)+IF(G16="STOP-CHECK",1,0)+IF(G25="STOP-CHECK",1,0))</f>
        <v/>
      </c>
      <c r="H11" s="21">
        <f>(IF(H15="STOP-CHECK",1,0)+IF(H16="STOP-CHECK",1,0)+IF(H25="STOP-CHECK",1,0))</f>
        <v/>
      </c>
      <c r="I11" s="21">
        <f>(IF(I15="STOP-CHECK",1,0)+IF(I16="STOP-CHECK",1,0)+IF(I25="STOP-CHECK",1,0))</f>
        <v/>
      </c>
      <c r="J11" s="21">
        <f>(IF(J15="STOP-CHECK",1,0)+IF(J16="STOP-CHECK",1,0)+IF(J25="STOP-CHECK",1,0))</f>
        <v/>
      </c>
      <c r="K11" s="21">
        <f>(IF(K15="STOP-CHECK",1,0)+IF(K16="STOP-CHECK",1,0)+IF(K25="STOP-CHECK",1,0))</f>
        <v/>
      </c>
      <c r="L11" s="21">
        <f>(IF(L15="STOP-CHECK",1,0)+IF(L16="STOP-CHECK",1,0)+IF(L25="STOP-CHECK",1,0))</f>
        <v/>
      </c>
      <c r="M11" s="21">
        <f>(IF(M15="STOP-CHECK",1,0)+IF(M16="STOP-CHECK",1,0)+IF(M25="STOP-CHECK",1,0))</f>
        <v/>
      </c>
      <c r="N11" s="21">
        <f>(IF(N15="STOP-CHECK",1,0)+IF(N16="STOP-CHECK",1,0)+IF(N25="STOP-CHECK",1,0))</f>
        <v/>
      </c>
      <c r="O11" s="21">
        <f>(IF(O15="STOP-CHECK",1,0)+IF(O16="STOP-CHECK",1,0)+IF(O25="STOP-CHECK",1,0))</f>
        <v/>
      </c>
      <c r="P11" s="21">
        <f>(IF(P15="STOP-CHECK",1,0)+IF(P16="STOP-CHECK",1,0)+IF(P25="STOP-CHECK",1,0))</f>
        <v/>
      </c>
      <c r="Q11" s="21">
        <f>(IF(Q15="STOP-CHECK",1,0)+IF(Q16="STOP-CHECK",1,0)+IF(Q25="STOP-CHECK",1,0))</f>
        <v/>
      </c>
      <c r="R11" s="21">
        <f>(IF(R15="STOP-CHECK",1,0)+IF(R16="STOP-CHECK",1,0)+IF(R25="STOP-CHECK",1,0))</f>
        <v/>
      </c>
      <c r="S11" s="21">
        <f>(IF(S15="STOP-CHECK",1,0)+IF(S16="STOP-CHECK",1,0)+IF(S25="STOP-CHECK",1,0))</f>
        <v/>
      </c>
      <c r="T11" s="21">
        <f>(IF(T15="STOP-CHECK",1,0)+IF(T16="STOP-CHECK",1,0)+IF(T25="STOP-CHECK",1,0))</f>
        <v/>
      </c>
    </row>
    <row r="13" ht="21" customHeight="1">
      <c r="B13" s="4" t="inlineStr">
        <is>
          <t>A  ·  COMPANY AND PRODUCT</t>
        </is>
      </c>
    </row>
    <row r="14" ht="24" customHeight="1">
      <c r="B14" s="22" t="inlineStr">
        <is>
          <t>A1</t>
        </is>
      </c>
      <c r="C14" s="23" t="inlineStr">
        <is>
          <t>Home Care Home Base integration</t>
        </is>
      </c>
      <c r="D14" s="16" t="inlineStr">
        <is>
          <t>Pick one line  ·  20 points</t>
        </is>
      </c>
      <c r="E14" s="24" t="n"/>
      <c r="F14" s="24" t="n"/>
      <c r="G14" s="24" t="n"/>
      <c r="H14" s="24" t="n"/>
      <c r="I14" s="24" t="n"/>
      <c r="J14" s="24" t="n"/>
      <c r="K14" s="24" t="n"/>
      <c r="L14" s="24" t="n"/>
      <c r="M14" s="24" t="n"/>
      <c r="N14" s="24" t="n"/>
      <c r="O14" s="24" t="n"/>
      <c r="P14" s="24" t="n"/>
      <c r="Q14" s="24" t="n"/>
      <c r="R14" s="24" t="n"/>
      <c r="S14" s="24" t="n"/>
      <c r="T14" s="24" t="n"/>
    </row>
    <row r="15" ht="19" customHeight="1">
      <c r="B15" s="25" t="inlineStr">
        <is>
          <t>A2</t>
        </is>
      </c>
      <c r="C15" s="23" t="inlineStr">
        <is>
          <t>Customers, scale and references</t>
        </is>
      </c>
      <c r="D15" s="16" t="inlineStr">
        <is>
          <t>Flag  ·  stop-check if one customer or no references</t>
        </is>
      </c>
      <c r="E15" s="26" t="n"/>
      <c r="F15" s="26" t="n"/>
      <c r="G15" s="26" t="n"/>
      <c r="H15" s="26" t="n"/>
      <c r="I15" s="26" t="n"/>
      <c r="J15" s="26" t="n"/>
      <c r="K15" s="26" t="n"/>
      <c r="L15" s="26" t="n"/>
      <c r="M15" s="26" t="n"/>
      <c r="N15" s="26" t="n"/>
      <c r="O15" s="26" t="n"/>
      <c r="P15" s="26" t="n"/>
      <c r="Q15" s="26" t="n"/>
      <c r="R15" s="26" t="n"/>
      <c r="S15" s="26" t="n"/>
      <c r="T15" s="26" t="n"/>
    </row>
    <row r="16" ht="19" customHeight="1">
      <c r="B16" s="25" t="inlineStr">
        <is>
          <t>A3</t>
        </is>
      </c>
      <c r="C16" s="23" t="inlineStr">
        <is>
          <t>Measured impact</t>
        </is>
      </c>
      <c r="D16" s="16" t="inlineStr">
        <is>
          <t>Flag  ·  watch if no baseline or period</t>
        </is>
      </c>
      <c r="E16" s="26" t="n"/>
      <c r="F16" s="26" t="n"/>
      <c r="G16" s="26" t="n"/>
      <c r="H16" s="26" t="n"/>
      <c r="I16" s="26" t="n"/>
      <c r="J16" s="26" t="n"/>
      <c r="K16" s="26" t="n"/>
      <c r="L16" s="26" t="n"/>
      <c r="M16" s="26" t="n"/>
      <c r="N16" s="26" t="n"/>
      <c r="O16" s="26" t="n"/>
      <c r="P16" s="26" t="n"/>
      <c r="Q16" s="26" t="n"/>
      <c r="R16" s="26" t="n"/>
      <c r="S16" s="26" t="n"/>
      <c r="T16" s="26" t="n"/>
    </row>
    <row r="18" ht="21" customHeight="1">
      <c r="B18" s="4" t="inlineStr">
        <is>
          <t>B  ·  COVERAGE SELF-ASSESSMENT   —   how much of our scope they cover</t>
        </is>
      </c>
    </row>
    <row r="19" ht="19" customHeight="1">
      <c r="B19" s="27" t="inlineStr">
        <is>
          <t>Section B</t>
        </is>
      </c>
      <c r="C19" s="23" t="inlineStr">
        <is>
          <t>Capacity</t>
        </is>
      </c>
      <c r="D19" s="16" t="inlineStr">
        <is>
          <t>Workforce supply · availability &amp; reach · the capacity math  ·  0–5  ·  12 points</t>
        </is>
      </c>
      <c r="E19" s="28" t="n"/>
      <c r="F19" s="28" t="n"/>
      <c r="G19" s="28" t="n"/>
      <c r="H19" s="28" t="n"/>
      <c r="I19" s="28" t="n"/>
      <c r="J19" s="28" t="n"/>
      <c r="K19" s="28" t="n"/>
      <c r="L19" s="28" t="n"/>
      <c r="M19" s="28" t="n"/>
      <c r="N19" s="28" t="n"/>
      <c r="O19" s="28" t="n"/>
      <c r="P19" s="28" t="n"/>
      <c r="Q19" s="28" t="n"/>
      <c r="R19" s="28" t="n"/>
      <c r="S19" s="28" t="n"/>
      <c r="T19" s="28" t="n"/>
    </row>
    <row r="20" ht="19" customHeight="1">
      <c r="B20" s="29" t="inlineStr">
        <is>
          <t>Section B</t>
        </is>
      </c>
      <c r="C20" s="23" t="inlineStr">
        <is>
          <t>Scheduling</t>
        </is>
      </c>
      <c r="D20" s="16" t="inlineStr">
        <is>
          <t>Demand · matching · routing &amp; the week · exceptions  ·  0–5  ·  12 points</t>
        </is>
      </c>
      <c r="E20" s="28" t="n"/>
      <c r="F20" s="28" t="n"/>
      <c r="G20" s="28" t="n"/>
      <c r="H20" s="28" t="n"/>
      <c r="I20" s="28" t="n"/>
      <c r="J20" s="28" t="n"/>
      <c r="K20" s="28" t="n"/>
      <c r="L20" s="28" t="n"/>
      <c r="M20" s="28" t="n"/>
      <c r="N20" s="28" t="n"/>
      <c r="O20" s="28" t="n"/>
      <c r="P20" s="28" t="n"/>
      <c r="Q20" s="28" t="n"/>
      <c r="R20" s="28" t="n"/>
      <c r="S20" s="28" t="n"/>
      <c r="T20" s="28" t="n"/>
    </row>
    <row r="21" ht="19" customHeight="1">
      <c r="B21" s="30" t="inlineStr">
        <is>
          <t>Section B</t>
        </is>
      </c>
      <c r="C21" s="23" t="inlineStr">
        <is>
          <t>Engagement</t>
        </is>
      </c>
      <c r="D21" s="16" t="inlineStr">
        <is>
          <t>Before the visit · when plans change · incentives · care team  ·  0–5  ·  12 points</t>
        </is>
      </c>
      <c r="E21" s="28" t="n"/>
      <c r="F21" s="28" t="n"/>
      <c r="G21" s="28" t="n"/>
      <c r="H21" s="28" t="n"/>
      <c r="I21" s="28" t="n"/>
      <c r="J21" s="28" t="n"/>
      <c r="K21" s="28" t="n"/>
      <c r="L21" s="28" t="n"/>
      <c r="M21" s="28" t="n"/>
      <c r="N21" s="28" t="n"/>
      <c r="O21" s="28" t="n"/>
      <c r="P21" s="28" t="n"/>
      <c r="Q21" s="28" t="n"/>
      <c r="R21" s="28" t="n"/>
      <c r="S21" s="28" t="n"/>
      <c r="T21" s="28" t="n"/>
    </row>
    <row r="23" ht="21" customHeight="1">
      <c r="B23" s="4" t="inlineStr">
        <is>
          <t>C  ·  HOW YOUR PRODUCT WORKS</t>
        </is>
      </c>
    </row>
    <row r="24" ht="24" customHeight="1">
      <c r="B24" s="31" t="inlineStr">
        <is>
          <t>Section C</t>
        </is>
      </c>
      <c r="C24" s="23" t="inlineStr">
        <is>
          <t>Sophistication</t>
        </is>
      </c>
      <c r="D24" s="16" t="inlineStr">
        <is>
          <t>How much of the work it does  ·  0–4  ·  20 points</t>
        </is>
      </c>
      <c r="E24" s="28" t="n"/>
      <c r="F24" s="28" t="n"/>
      <c r="G24" s="28" t="n"/>
      <c r="H24" s="28" t="n"/>
      <c r="I24" s="28" t="n"/>
      <c r="J24" s="28" t="n"/>
      <c r="K24" s="28" t="n"/>
      <c r="L24" s="28" t="n"/>
      <c r="M24" s="28" t="n"/>
      <c r="N24" s="28" t="n"/>
      <c r="O24" s="28" t="n"/>
      <c r="P24" s="28" t="n"/>
      <c r="Q24" s="28" t="n"/>
      <c r="R24" s="28" t="n"/>
      <c r="S24" s="28" t="n"/>
      <c r="T24" s="28" t="n"/>
    </row>
    <row r="25" ht="19" customHeight="1">
      <c r="B25" s="25" t="inlineStr">
        <is>
          <t>C6</t>
        </is>
      </c>
      <c r="C25" s="23" t="inlineStr">
        <is>
          <t>When your product is down</t>
        </is>
      </c>
      <c r="D25" s="16" t="inlineStr">
        <is>
          <t>Flag  ·  stop-check if no uptime figure or commitment</t>
        </is>
      </c>
      <c r="E25" s="26" t="n"/>
      <c r="F25" s="26" t="n"/>
      <c r="G25" s="26" t="n"/>
      <c r="H25" s="26" t="n"/>
      <c r="I25" s="26" t="n"/>
      <c r="J25" s="26" t="n"/>
      <c r="K25" s="26" t="n"/>
      <c r="L25" s="26" t="n"/>
      <c r="M25" s="26" t="n"/>
      <c r="N25" s="26" t="n"/>
      <c r="O25" s="26" t="n"/>
      <c r="P25" s="26" t="n"/>
      <c r="Q25" s="26" t="n"/>
      <c r="R25" s="26" t="n"/>
      <c r="S25" s="26" t="n"/>
      <c r="T25" s="26" t="n"/>
    </row>
    <row r="27" ht="21" customHeight="1">
      <c r="B27" s="4" t="inlineStr">
        <is>
          <t>D  ·  THE CLINICIAN'S PLACE IN THE MODEL</t>
        </is>
      </c>
    </row>
    <row r="28" ht="24" customHeight="1">
      <c r="B28" s="32" t="inlineStr">
        <is>
          <t>D1–D3</t>
        </is>
      </c>
      <c r="C28" s="23" t="inlineStr">
        <is>
          <t>Clinician fit</t>
        </is>
      </c>
      <c r="D28" s="16" t="inlineStr">
        <is>
          <t>Our read of fit  ·  0–4  ·  12 points</t>
        </is>
      </c>
      <c r="E28" s="28" t="n"/>
      <c r="F28" s="28" t="n"/>
      <c r="G28" s="28" t="n"/>
      <c r="H28" s="28" t="n"/>
      <c r="I28" s="28" t="n"/>
      <c r="J28" s="28" t="n"/>
      <c r="K28" s="28" t="n"/>
      <c r="L28" s="28" t="n"/>
      <c r="M28" s="28" t="n"/>
      <c r="N28" s="28" t="n"/>
      <c r="O28" s="28" t="n"/>
      <c r="P28" s="28" t="n"/>
      <c r="Q28" s="28" t="n"/>
      <c r="R28" s="28" t="n"/>
      <c r="S28" s="28" t="n"/>
      <c r="T28" s="28" t="n"/>
    </row>
    <row r="30" ht="21" customHeight="1">
      <c r="B30" s="4" t="inlineStr">
        <is>
          <t>E  ·  FIT AND PARTNERSHIP</t>
        </is>
      </c>
    </row>
    <row r="31" ht="24" customHeight="1">
      <c r="B31" s="32" t="inlineStr">
        <is>
          <t>E1–E4</t>
        </is>
      </c>
      <c r="C31" s="23" t="inlineStr">
        <is>
          <t>Partnership</t>
        </is>
      </c>
      <c r="D31" s="16" t="inlineStr">
        <is>
          <t>Willing to build it with us, and open to a stake  ·  0–4  ·  12 points</t>
        </is>
      </c>
      <c r="E31" s="28" t="n"/>
      <c r="F31" s="28" t="n"/>
      <c r="G31" s="28" t="n"/>
      <c r="H31" s="28" t="n"/>
      <c r="I31" s="28" t="n"/>
      <c r="J31" s="28" t="n"/>
      <c r="K31" s="28" t="n"/>
      <c r="L31" s="28" t="n"/>
      <c r="M31" s="28" t="n"/>
      <c r="N31" s="28" t="n"/>
      <c r="O31" s="28" t="n"/>
      <c r="P31" s="28" t="n"/>
      <c r="Q31" s="28" t="n"/>
      <c r="R31" s="28" t="n"/>
      <c r="S31" s="28" t="n"/>
      <c r="T31" s="28" t="n"/>
    </row>
    <row r="33" ht="21" customHeight="1">
      <c r="B33" s="33" t="inlineStr">
        <is>
          <t>NOTES   —   one line each.  This is what we go and ask.</t>
        </is>
      </c>
    </row>
    <row r="34" ht="62" customHeight="1">
      <c r="B34" s="34" t="inlineStr"/>
      <c r="C34" s="35" t="inlineStr">
        <is>
          <t>What stands out</t>
        </is>
      </c>
      <c r="D34" s="36" t="inlineStr">
        <is>
          <t>against the field, or against our own thinking</t>
        </is>
      </c>
      <c r="E34" s="37" t="n"/>
      <c r="F34" s="37" t="n"/>
      <c r="G34" s="37" t="n"/>
      <c r="H34" s="37" t="n"/>
      <c r="I34" s="37" t="n"/>
      <c r="J34" s="37" t="n"/>
      <c r="K34" s="37" t="n"/>
      <c r="L34" s="37" t="n"/>
      <c r="M34" s="37" t="n"/>
      <c r="N34" s="37" t="n"/>
      <c r="O34" s="37" t="n"/>
      <c r="P34" s="37" t="n"/>
      <c r="Q34" s="37" t="n"/>
      <c r="R34" s="37" t="n"/>
      <c r="S34" s="37" t="n"/>
      <c r="T34" s="37" t="n"/>
    </row>
    <row r="35" ht="62" customHeight="1">
      <c r="B35" s="34" t="inlineStr"/>
      <c r="C35" s="35" t="inlineStr">
        <is>
          <t>What worries me</t>
        </is>
      </c>
      <c r="D35" s="36" t="inlineStr">
        <is>
          <t>including anything flagged above</t>
        </is>
      </c>
      <c r="E35" s="37" t="n"/>
      <c r="F35" s="37" t="n"/>
      <c r="G35" s="37" t="n"/>
      <c r="H35" s="37" t="n"/>
      <c r="I35" s="37" t="n"/>
      <c r="J35" s="37" t="n"/>
      <c r="K35" s="37" t="n"/>
      <c r="L35" s="37" t="n"/>
      <c r="M35" s="37" t="n"/>
      <c r="N35" s="37" t="n"/>
      <c r="O35" s="37" t="n"/>
      <c r="P35" s="37" t="n"/>
      <c r="Q35" s="37" t="n"/>
      <c r="R35" s="37" t="n"/>
      <c r="S35" s="37" t="n"/>
      <c r="T35" s="37" t="n"/>
    </row>
    <row r="36" ht="62" customHeight="1">
      <c r="B36" s="34" t="inlineStr"/>
      <c r="C36" s="35" t="inlineStr">
        <is>
          <t>What to go and ask</t>
        </is>
      </c>
      <c r="D36" s="36" t="inlineStr">
        <is>
          <t>the demo agenda</t>
        </is>
      </c>
      <c r="E36" s="37" t="n"/>
      <c r="F36" s="37" t="n"/>
      <c r="G36" s="37" t="n"/>
      <c r="H36" s="37" t="n"/>
      <c r="I36" s="37" t="n"/>
      <c r="J36" s="37" t="n"/>
      <c r="K36" s="37" t="n"/>
      <c r="L36" s="37" t="n"/>
      <c r="M36" s="37" t="n"/>
      <c r="N36" s="37" t="n"/>
      <c r="O36" s="37" t="n"/>
      <c r="P36" s="37" t="n"/>
      <c r="Q36" s="37" t="n"/>
      <c r="R36" s="37" t="n"/>
      <c r="S36" s="37" t="n"/>
      <c r="T36" s="37" t="n"/>
    </row>
  </sheetData>
  <mergeCells count="8">
    <mergeCell ref="B23:T23"/>
    <mergeCell ref="B8:T8"/>
    <mergeCell ref="B18:T18"/>
    <mergeCell ref="B13:T13"/>
    <mergeCell ref="B27:T27"/>
    <mergeCell ref="B4:T4"/>
    <mergeCell ref="B30:T30"/>
    <mergeCell ref="B33:T33"/>
  </mergeCells>
  <conditionalFormatting sqref="E9:T9">
    <cfRule type="colorScale" priority="1">
      <colorScale>
        <cfvo type="num" val="40"/>
        <cfvo type="num" val="65"/>
        <cfvo type="num" val="90"/>
        <color rgb="00F5E3E3"/>
        <color rgb="00FBF3DD"/>
        <color rgb="00DDEBE0"/>
      </colorScale>
    </cfRule>
  </conditionalFormatting>
  <conditionalFormatting sqref="E10:T10">
    <cfRule type="expression" priority="2" dxfId="0">
      <formula>ISNUMBER(SEARCH("Conditional",E10))</formula>
    </cfRule>
  </conditionalFormatting>
  <conditionalFormatting sqref="E11:T11">
    <cfRule type="expression" priority="3" dxfId="0">
      <formula>E11&gt;0</formula>
    </cfRule>
  </conditionalFormatting>
  <conditionalFormatting sqref="E15:T15">
    <cfRule type="expression" priority="4" dxfId="1">
      <formula>E15="STOP-CHECK"</formula>
    </cfRule>
  </conditionalFormatting>
  <conditionalFormatting sqref="E16:T16">
    <cfRule type="expression" priority="5" dxfId="1">
      <formula>E16="STOP-CHECK"</formula>
    </cfRule>
  </conditionalFormatting>
  <conditionalFormatting sqref="E25:T25">
    <cfRule type="expression" priority="6" dxfId="1">
      <formula>E25="STOP-CHECK"</formula>
    </cfRule>
  </conditionalFormatting>
  <conditionalFormatting sqref="E19:T19">
    <cfRule type="colorScale" priority="7">
      <colorScale>
        <cfvo type="num" val="0"/>
        <cfvo type="num" val="5"/>
        <color rgb="00FFFFFF"/>
        <color rgb="001F6F78"/>
      </colorScale>
    </cfRule>
  </conditionalFormatting>
  <conditionalFormatting sqref="E20:T20">
    <cfRule type="colorScale" priority="8">
      <colorScale>
        <cfvo type="num" val="0"/>
        <cfvo type="num" val="5"/>
        <color rgb="00FFFFFF"/>
        <color rgb="002E599D"/>
      </colorScale>
    </cfRule>
  </conditionalFormatting>
  <conditionalFormatting sqref="E21:T21">
    <cfRule type="colorScale" priority="9">
      <colorScale>
        <cfvo type="num" val="0"/>
        <cfvo type="num" val="5"/>
        <color rgb="00FFFFFF"/>
        <color rgb="004E8A5B"/>
      </colorScale>
    </cfRule>
  </conditionalFormatting>
  <dataValidations count="6">
    <dataValidation sqref="E14:T14" showDropDown="0" showInputMessage="0" showErrorMessage="0" allowBlank="1" promptTitle="A1 — Home Care Home Base" prompt="Pick one line. Ambiguous? Take the lower one and say so in Notes." type="list">
      <formula1>=Lists!$B$2:$B$7</formula1>
    </dataValidation>
    <dataValidation sqref="E19:T19 E20:T20 E21:T21" showDropDown="0" showInputMessage="0" showErrorMessage="0" allowBlank="1" promptTitle="Scope, 0–5" prompt="How much of this arena they cover. Most of it is the ceiling — our spec is original, so nobody covers all of it." type="list">
      <formula1>=Lists!$E$2:$E$7</formula1>
    </dataValidation>
    <dataValidation sqref="E24:T24" showDropDown="0" showInputMessage="0" showErrorMessage="0" allowBlank="1" promptTitle="Sophistication, 0–4" prompt="1 shows it · 2 checks it · 3 recommends it · 4 runs it. Score what the product does, not how much they wrote about it." type="list">
      <formula1>=Lists!$G$2:$G$6</formula1>
    </dataValidation>
    <dataValidation sqref="E28:T28" showDropDown="0" showInputMessage="0" showErrorMessage="0" allowBlank="1" promptTitle="Clinician fit, 0–4" prompt="Read D1 to D3 and give it your own read of fit. There is no checklist here on purpose." type="list">
      <formula1>=Lists!$I$2:$I$6</formula1>
    </dataValidation>
    <dataValidation sqref="E31:T31" showDropDown="0" showInputMessage="0" showErrorMessage="0" allowBlank="1" promptTitle="Partnership, 0–4" prompt="Are they able and willing to build this with us, and open to us holding a stake in what a wider market might buy? A discount is a discount." type="list">
      <formula1>=Lists!$K$2:$K$6</formula1>
    </dataValidation>
    <dataValidation sqref="E15:T15 E16:T16 E25:T25" showDropDown="0" showInputMessage="0" showErrorMessage="0" allowBlank="1" promptTitle="Flag" prompt="A stop-check is resolved before advancing, not traded against points." type="list">
      <formula1>"OK,Watch,STOP-CHECK"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K7"/>
  <sheetViews>
    <sheetView workbookViewId="0">
      <selection activeCell="A1" sqref="A1"/>
    </sheetView>
  </sheetViews>
  <sheetFormatPr baseColWidth="8" defaultRowHeight="15"/>
  <cols>
    <col width="48" customWidth="1" min="2" max="2"/>
    <col width="48" customWidth="1" min="5" max="5"/>
    <col width="48" customWidth="1" min="7" max="7"/>
    <col width="48" customWidth="1" min="9" max="9"/>
    <col width="48" customWidth="1" min="11" max="11"/>
  </cols>
  <sheetData>
    <row r="1">
      <c r="B1" s="1" t="inlineStr">
        <is>
          <t>A1 rung</t>
        </is>
      </c>
      <c r="C1" s="1" t="inlineStr">
        <is>
          <t>Points</t>
        </is>
      </c>
      <c r="E1" s="1" t="inlineStr">
        <is>
          <t>Scope</t>
        </is>
      </c>
      <c r="G1" s="1" t="inlineStr">
        <is>
          <t>Sophistication</t>
        </is>
      </c>
      <c r="I1" s="1" t="inlineStr">
        <is>
          <t>Clinician</t>
        </is>
      </c>
      <c r="K1" s="1" t="inlineStr">
        <is>
          <t>Partnership</t>
        </is>
      </c>
    </row>
    <row r="2">
      <c r="B2" t="inlineStr">
        <is>
          <t>Live — established customer base</t>
        </is>
      </c>
      <c r="C2" t="n">
        <v>20</v>
      </c>
      <c r="E2" t="inlineStr">
        <is>
          <t>0 — Nothing here</t>
        </is>
      </c>
      <c r="G2" t="inlineStr">
        <is>
          <t>0 — Not addressed</t>
        </is>
      </c>
      <c r="I2" t="inlineStr">
        <is>
          <t>0 — Not answered</t>
        </is>
      </c>
      <c r="K2" t="inlineStr">
        <is>
          <t>0 — Not answered</t>
        </is>
      </c>
    </row>
    <row r="3">
      <c r="B3" t="inlineStr">
        <is>
          <t>Live — small customer base</t>
        </is>
      </c>
      <c r="C3" t="n">
        <v>16</v>
      </c>
      <c r="E3" t="inlineStr">
        <is>
          <t>1 — A corner of it</t>
        </is>
      </c>
      <c r="G3" t="inlineStr">
        <is>
          <t>1 — Shows it</t>
        </is>
      </c>
      <c r="I3" t="inlineStr">
        <is>
          <t>1 — Poor fit</t>
        </is>
      </c>
      <c r="K3" t="inlineStr">
        <is>
          <t>1 — A standard customer relationship — we buy what already exists</t>
        </is>
      </c>
    </row>
    <row r="4">
      <c r="B4" t="inlineStr">
        <is>
          <t>Live — through a partner</t>
        </is>
      </c>
      <c r="C4" t="n">
        <v>12</v>
      </c>
      <c r="E4" t="inlineStr">
        <is>
          <t>2 — Less than half</t>
        </is>
      </c>
      <c r="G4" t="inlineStr">
        <is>
          <t>2 — Checks it</t>
        </is>
      </c>
      <c r="I4" t="inlineStr">
        <is>
          <t>2 — Workable</t>
        </is>
      </c>
      <c r="K4" t="inlineStr">
        <is>
          <t>2 — Will take our input, but they own the roadmap and the product</t>
        </is>
      </c>
    </row>
    <row r="5">
      <c r="B5" t="inlineStr">
        <is>
          <t>In development — with a date</t>
        </is>
      </c>
      <c r="C5" t="n">
        <v>6</v>
      </c>
      <c r="E5" t="inlineStr">
        <is>
          <t>3 — About half</t>
        </is>
      </c>
      <c r="G5" t="inlineStr">
        <is>
          <t>3 — Recommends it</t>
        </is>
      </c>
      <c r="I5" t="inlineStr">
        <is>
          <t>3 — Good fit</t>
        </is>
      </c>
      <c r="K5" t="inlineStr">
        <is>
          <t>3 — Ready to build to our needs as a design partner; ownership not addressed</t>
        </is>
      </c>
    </row>
    <row r="6">
      <c r="B6" t="inlineStr">
        <is>
          <t>On the roadmap — no date</t>
        </is>
      </c>
      <c r="C6" t="n">
        <v>2</v>
      </c>
      <c r="E6" t="inlineStr">
        <is>
          <t>4 — More than half</t>
        </is>
      </c>
      <c r="G6" t="inlineStr">
        <is>
          <t>4 — Runs it</t>
        </is>
      </c>
      <c r="I6" t="inlineStr">
        <is>
          <t>4 — Strong fit</t>
        </is>
      </c>
      <c r="K6" t="inlineStr">
        <is>
          <t>4 — Open to equity or a stake in what we build, and set up to build it with us</t>
        </is>
      </c>
    </row>
    <row r="7">
      <c r="B7" t="inlineStr">
        <is>
          <t>None, and no path to one</t>
        </is>
      </c>
      <c r="C7" t="n">
        <v>0</v>
      </c>
      <c r="E7" t="inlineStr">
        <is>
          <t>5 — Most of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2026-09-03T18:34:04Z</dcterms:created>
  <dcterms:modified xsi:type="dcterms:W3CDTF">2026-09-03T18:34:04Z</dcterms:modified>
</cp:coreProperties>
</file>