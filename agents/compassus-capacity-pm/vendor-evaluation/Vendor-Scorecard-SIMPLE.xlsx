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corecard" sheetId="2" state="visible" r:id="rId2"/>
    <sheet name="Lists" sheetId="3" state="hidden" r:id="rId3"/>
  </sheets>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C6A01F"/>
      <sz val="11"/>
    </font>
    <font>
      <name val="Aptos Narrow"/>
      <b val="1"/>
      <color rgb="001B211E"/>
      <sz val="11"/>
    </font>
    <font>
      <name val="Aptos Narrow"/>
      <b val="1"/>
      <color rgb="001B211E"/>
      <sz val="10"/>
    </font>
    <font>
      <name val="Aptos Narrow"/>
      <i val="1"/>
      <color rgb="005A6560"/>
      <sz val="9"/>
    </font>
    <font>
      <name val="Aptos Narrow"/>
      <b val="1"/>
      <color rgb="001B211E"/>
      <sz val="18"/>
    </font>
    <font>
      <name val="Aptos Narrow"/>
      <b val="1"/>
      <color rgb="001B211E"/>
      <sz val="12"/>
    </font>
    <font>
      <name val="Aptos Narrow"/>
      <color rgb="005A6560"/>
      <sz val="9"/>
    </font>
    <font>
      <name val="Aptos Narrow"/>
      <b val="1"/>
      <color rgb="00792E2E"/>
      <sz val="10"/>
    </font>
    <font>
      <name val="Aptos Narrow"/>
      <b val="1"/>
      <color rgb="00C6A01F"/>
      <sz val="10"/>
    </font>
    <font>
      <name val="Aptos Narrow"/>
      <color rgb="001B211E"/>
      <sz val="9"/>
    </font>
    <font>
      <name val="Aptos Narrow"/>
      <b val="1"/>
      <color rgb="001F6F78"/>
      <sz val="10"/>
    </font>
    <font>
      <name val="Aptos Narrow"/>
      <b val="1"/>
      <color rgb="002E599D"/>
      <sz val="10"/>
    </font>
    <font>
      <name val="Aptos Narrow"/>
      <b val="1"/>
      <color rgb="004E8A5B"/>
      <sz val="10"/>
    </font>
    <font>
      <name val="Aptos Narrow"/>
      <b val="1"/>
      <color rgb="00795CA7"/>
      <sz val="10"/>
    </font>
    <font>
      <name val="Aptos Narrow"/>
      <b val="1"/>
      <color rgb="001B211E"/>
      <sz val="14"/>
    </font>
    <font>
      <name val="Aptos Narrow"/>
      <b val="1"/>
      <color rgb="00792E2E"/>
      <sz val="9"/>
    </font>
  </fonts>
  <fills count="9">
    <fill>
      <patternFill/>
    </fill>
    <fill>
      <patternFill patternType="gray125"/>
    </fill>
    <fill>
      <patternFill patternType="solid">
        <fgColor rgb="001B211E"/>
      </patternFill>
    </fill>
    <fill>
      <patternFill patternType="solid">
        <fgColor rgb="00E9E9E5"/>
      </patternFill>
    </fill>
    <fill>
      <patternFill patternType="solid">
        <fgColor rgb="00FBFBF8"/>
      </patternFill>
    </fill>
    <fill>
      <patternFill patternType="solid">
        <fgColor rgb="00FFFDF4"/>
      </patternFill>
    </fill>
    <fill>
      <patternFill patternType="solid">
        <fgColor rgb="00FDF7F7"/>
      </patternFill>
    </fill>
    <fill>
      <patternFill patternType="solid">
        <fgColor rgb="00792E2E"/>
      </patternFill>
    </fill>
    <fill>
      <patternFill patternType="solid">
        <fgColor rgb="00FFFFFF"/>
      </patternFill>
    </fill>
  </fills>
  <borders count="4">
    <border>
      <left/>
      <right/>
      <top/>
      <bottom/>
      <diagonal/>
    </border>
    <border>
      <bottom style="medium">
        <color rgb="001B211E"/>
      </bottom>
    </border>
    <border>
      <left style="thin">
        <color rgb="00C9CCC5"/>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wrapText="1"/>
    </xf>
    <xf numFmtId="0" fontId="4" fillId="2" borderId="0" applyAlignment="1" pivotButton="0" quotePrefix="0" xfId="0">
      <alignment horizontal="left" vertical="center" inden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6"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9" fillId="0" borderId="0" pivotButton="0" quotePrefix="0" xfId="0"/>
    <xf numFmtId="0" fontId="10" fillId="0" borderId="0" pivotButton="0" quotePrefix="0" xfId="0"/>
    <xf numFmtId="0" fontId="9" fillId="0" borderId="0" applyAlignment="1" pivotButton="0" quotePrefix="0" xfId="0">
      <alignment horizontal="left" vertical="center" wrapText="1"/>
    </xf>
    <xf numFmtId="0" fontId="1" fillId="0" borderId="0" applyAlignment="1" pivotButton="0" quotePrefix="0" xfId="0">
      <alignment horizontal="left" vertical="bottom"/>
    </xf>
    <xf numFmtId="0" fontId="8" fillId="4" borderId="1" applyAlignment="1" pivotButton="0" quotePrefix="0" xfId="0">
      <alignment horizontal="center" vertical="bottom" wrapText="1"/>
    </xf>
    <xf numFmtId="0" fontId="11" fillId="0" borderId="0" applyAlignment="1" pivotButton="0" quotePrefix="0" xfId="0">
      <alignment horizontal="left" vertical="center" wrapText="1"/>
    </xf>
    <xf numFmtId="0" fontId="12" fillId="0" borderId="0" applyAlignment="1" pivotButton="0" quotePrefix="0" xfId="0">
      <alignment horizontal="left" vertical="center" wrapText="1"/>
    </xf>
    <xf numFmtId="164" fontId="20" fillId="8" borderId="3" applyAlignment="1" pivotButton="0" quotePrefix="0" xfId="0">
      <alignment horizontal="center" vertical="center" wrapText="1"/>
    </xf>
    <xf numFmtId="0" fontId="8"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13" fillId="0" borderId="0" applyAlignment="1" pivotButton="0" quotePrefix="0" xfId="0">
      <alignment horizontal="left" vertical="center" wrapText="1"/>
    </xf>
    <xf numFmtId="1" fontId="13" fillId="3" borderId="2" applyAlignment="1" pivotButton="0" quotePrefix="0" xfId="0">
      <alignment horizontal="center" vertical="center" wrapText="1"/>
    </xf>
    <xf numFmtId="0" fontId="1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15" fillId="5" borderId="2" applyAlignment="1" pivotButton="0" quotePrefix="0" xfId="0">
      <alignment horizontal="center" vertical="center" wrapText="1"/>
    </xf>
    <xf numFmtId="0" fontId="13" fillId="0" borderId="0" applyAlignment="1" pivotButton="0" quotePrefix="0" xfId="0">
      <alignment horizontal="center" vertical="center" wrapText="1"/>
    </xf>
    <xf numFmtId="0" fontId="15" fillId="6" borderId="2" applyAlignment="1" pivotButton="0" quotePrefix="0" xfId="0">
      <alignment horizontal="center" vertical="center" wrapText="1"/>
    </xf>
    <xf numFmtId="0" fontId="16" fillId="0" borderId="0" applyAlignment="1" pivotButton="0" quotePrefix="0" xfId="0">
      <alignment horizontal="center" vertical="center" wrapText="1"/>
    </xf>
    <xf numFmtId="0" fontId="15" fillId="4" borderId="2" applyAlignment="1" pivotButton="0" quotePrefix="0" xfId="0">
      <alignment horizontal="center" vertical="center" wrapText="1"/>
    </xf>
    <xf numFmtId="0" fontId="17"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4" fillId="7" borderId="0" applyAlignment="1" pivotButton="0" quotePrefix="0" xfId="0">
      <alignment horizontal="left" vertical="center" indent="1"/>
    </xf>
    <xf numFmtId="0" fontId="5" fillId="0" borderId="0" pivotButton="0" quotePrefix="0" xfId="0"/>
    <xf numFmtId="0" fontId="13" fillId="0" borderId="0" applyAlignment="1" pivotButton="0" quotePrefix="0" xfId="0">
      <alignment horizontal="left" vertical="top" wrapText="1"/>
    </xf>
    <xf numFmtId="0" fontId="9" fillId="0" borderId="0" applyAlignment="1" pivotButton="0" quotePrefix="0" xfId="0">
      <alignment horizontal="left" vertical="top" wrapText="1"/>
    </xf>
    <xf numFmtId="0" fontId="15" fillId="4" borderId="2" applyAlignment="1" pivotButton="0" quotePrefix="0" xfId="0">
      <alignment horizontal="left" vertical="top" wrapText="1"/>
    </xf>
  </cellXfs>
  <cellStyles count="1">
    <cellStyle name="Normal" xfId="0" builtinId="0" hidden="0"/>
  </cellStyles>
  <dxfs count="2">
    <dxf>
      <font>
        <b val="1"/>
        <color rgb="00FFFFFF"/>
      </font>
      <fill>
        <patternFill patternType="solid">
          <fgColor rgb="00792E2E"/>
        </patternFill>
      </fill>
    </dxf>
    <dxf>
      <font>
        <b val="1"/>
        <color rgb="007A2020"/>
      </font>
      <fill>
        <patternFill patternType="solid">
          <fgColor rgb="00F5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6A01F"/>
    <outlinePr summaryBelow="1" summaryRight="1"/>
    <pageSetUpPr/>
  </sheetPr>
  <dimension ref="B2:D80"/>
  <sheetViews>
    <sheetView showGridLines="0" workbookViewId="0">
      <selection activeCell="A1" sqref="A1"/>
    </sheetView>
  </sheetViews>
  <sheetFormatPr baseColWidth="8" defaultRowHeight="15"/>
  <cols>
    <col width="4" customWidth="1" min="1" max="1"/>
    <col width="15" customWidth="1" min="2" max="2"/>
    <col width="34" customWidth="1" min="3" max="3"/>
    <col width="100" customWidth="1" min="4" max="4"/>
  </cols>
  <sheetData>
    <row r="2">
      <c r="B2" s="1" t="inlineStr">
        <is>
          <t>COMPASSUS  ·  HOME HEALTH</t>
        </is>
      </c>
    </row>
    <row r="3" ht="32" customHeight="1">
      <c r="B3" s="2" t="inlineStr">
        <is>
          <t>Vendor Scorecard — Fast</t>
        </is>
      </c>
    </row>
    <row r="4">
      <c r="B4" s="3" t="inlineStr">
        <is>
          <t>The questionnaire is the rubric. Read the return top to bottom and fill the sheet top to bottom. Seven marks a vendor, about two minutes.</t>
        </is>
      </c>
    </row>
    <row r="6" ht="10" customHeight="1"/>
    <row r="7" ht="22" customHeight="1">
      <c r="B7" s="4" t="inlineStr">
        <is>
          <t>HOW IT WORKS</t>
        </is>
      </c>
    </row>
    <row r="8" ht="28" customHeight="1">
      <c r="B8" s="5" t="inlineStr">
        <is>
          <t>Every one of the 17 questions on the questionnaire has a row on the Scorecard tab, in the order it appears on the form. Seven rows take a mark. The rest raise a flag or a note — and they say so, so nothing looks forgotten. What isn't scored becomes what we go and ask at the demo.</t>
        </is>
      </c>
    </row>
    <row r="9" ht="28" customHeight="1">
      <c r="B9" s="5" t="inlineStr">
        <is>
          <t>Scored on the same 100 points and the same bands as the full scorecard, so the two are directly comparable. This one is coarser, not different: it gives one mark where the full sheet gives several, so the two can disagree on a close call. That is the trade for speed.</t>
        </is>
      </c>
    </row>
    <row r="10" ht="10" customHeight="1"/>
    <row r="11" ht="22" customHeight="1">
      <c r="B11" s="4" t="inlineStr">
        <is>
          <t>THE SEVEN MARKS</t>
        </is>
      </c>
    </row>
    <row r="12">
      <c r="B12" s="6" t="inlineStr">
        <is>
          <t>Question</t>
        </is>
      </c>
      <c r="C12" s="6" t="inlineStr">
        <is>
          <t>Mark</t>
        </is>
      </c>
      <c r="D12" s="6" t="inlineStr">
        <is>
          <t>Points</t>
        </is>
      </c>
    </row>
    <row r="13" ht="21" customHeight="1">
      <c r="B13" s="7" t="inlineStr">
        <is>
          <t>A1</t>
        </is>
      </c>
      <c r="C13" s="5" t="inlineStr">
        <is>
          <t>Home Care Home Base integration</t>
        </is>
      </c>
      <c r="D13" s="8" t="inlineStr">
        <is>
          <t>25</t>
        </is>
      </c>
    </row>
    <row r="14" ht="21" customHeight="1">
      <c r="B14" s="7" t="inlineStr">
        <is>
          <t>Section B</t>
        </is>
      </c>
      <c r="C14" s="5" t="inlineStr">
        <is>
          <t>Capacity — how much of it they cover</t>
        </is>
      </c>
      <c r="D14" s="8" t="inlineStr">
        <is>
          <t>10</t>
        </is>
      </c>
    </row>
    <row r="15" ht="21" customHeight="1">
      <c r="B15" s="7" t="inlineStr">
        <is>
          <t>Section B</t>
        </is>
      </c>
      <c r="C15" s="5" t="inlineStr">
        <is>
          <t>Scheduling — how much of it they cover</t>
        </is>
      </c>
      <c r="D15" s="8" t="inlineStr">
        <is>
          <t>10</t>
        </is>
      </c>
    </row>
    <row r="16" ht="21" customHeight="1">
      <c r="B16" s="7" t="inlineStr">
        <is>
          <t>Section B</t>
        </is>
      </c>
      <c r="C16" s="5" t="inlineStr">
        <is>
          <t>Engagement — how much of it they cover</t>
        </is>
      </c>
      <c r="D16" s="8" t="inlineStr">
        <is>
          <t>10</t>
        </is>
      </c>
    </row>
    <row r="17" ht="21" customHeight="1">
      <c r="B17" s="7" t="inlineStr">
        <is>
          <t>C1–C5, C7</t>
        </is>
      </c>
      <c r="C17" s="5" t="inlineStr">
        <is>
          <t>Sophistication — how much of the work the product does</t>
        </is>
      </c>
      <c r="D17" s="8" t="inlineStr">
        <is>
          <t>20</t>
        </is>
      </c>
    </row>
    <row r="18" ht="21" customHeight="1">
      <c r="B18" s="7" t="inlineStr">
        <is>
          <t>D1–D3</t>
        </is>
      </c>
      <c r="C18" s="5" t="inlineStr">
        <is>
          <t>Clinician fit</t>
        </is>
      </c>
      <c r="D18" s="8" t="inlineStr">
        <is>
          <t>10</t>
        </is>
      </c>
    </row>
    <row r="19" ht="21" customHeight="1">
      <c r="B19" s="7" t="inlineStr">
        <is>
          <t>E1–E4</t>
        </is>
      </c>
      <c r="C19" s="5" t="inlineStr">
        <is>
          <t>Partnership</t>
        </is>
      </c>
      <c r="D19" s="8" t="inlineStr">
        <is>
          <t>15</t>
        </is>
      </c>
    </row>
    <row r="20" ht="21" customHeight="1">
      <c r="B20" s="7" t="inlineStr"/>
      <c r="C20" s="9" t="inlineStr">
        <is>
          <t>TOTAL</t>
        </is>
      </c>
      <c r="D20" s="8" t="inlineStr">
        <is>
          <t>100</t>
        </is>
      </c>
    </row>
    <row r="21" ht="10" customHeight="1"/>
    <row r="22" ht="22" customHeight="1">
      <c r="B22" s="4" t="inlineStr">
        <is>
          <t>A1  ·  HOME CARE HOME BASE   —   pick one line</t>
        </is>
      </c>
    </row>
    <row r="23" ht="21" customHeight="1">
      <c r="B23" s="7" t="inlineStr">
        <is>
          <t>25</t>
        </is>
      </c>
      <c r="C23" s="5" t="inlineStr">
        <is>
          <t>Live — reads and writes, several customers</t>
        </is>
      </c>
      <c r="D23" s="8" t="inlineStr"/>
    </row>
    <row r="24" ht="21" customHeight="1">
      <c r="B24" s="7" t="inlineStr">
        <is>
          <t>20</t>
        </is>
      </c>
      <c r="C24" s="5" t="inlineStr">
        <is>
          <t>Live — one customer, or one-way only</t>
        </is>
      </c>
      <c r="D24" s="8" t="inlineStr"/>
    </row>
    <row r="25" ht="21" customHeight="1">
      <c r="B25" s="7" t="inlineStr">
        <is>
          <t>12</t>
        </is>
      </c>
      <c r="C25" s="5" t="inlineStr">
        <is>
          <t>Live — via a partner, flat file or screen scraping</t>
        </is>
      </c>
      <c r="D25" s="8" t="inlineStr"/>
    </row>
    <row r="26" ht="21" customHeight="1">
      <c r="B26" s="7" t="inlineStr">
        <is>
          <t>6</t>
        </is>
      </c>
      <c r="C26" s="5" t="inlineStr">
        <is>
          <t>In development — with a date</t>
        </is>
      </c>
      <c r="D26" s="8" t="inlineStr"/>
    </row>
    <row r="27" ht="21" customHeight="1">
      <c r="B27" s="7" t="inlineStr">
        <is>
          <t>2</t>
        </is>
      </c>
      <c r="C27" s="5" t="inlineStr">
        <is>
          <t>Roadmap — no date</t>
        </is>
      </c>
      <c r="D27" s="8" t="inlineStr"/>
    </row>
    <row r="28" ht="21" customHeight="1">
      <c r="B28" s="7" t="inlineStr">
        <is>
          <t>0</t>
        </is>
      </c>
      <c r="C28" s="5" t="inlineStr">
        <is>
          <t>None, and no path to one</t>
        </is>
      </c>
      <c r="D28" s="8" t="inlineStr"/>
    </row>
    <row r="29" ht="10" customHeight="1"/>
    <row r="30" ht="22" customHeight="1">
      <c r="B30" s="4" t="inlineStr">
        <is>
          <t>SECTION B  ·  SCOPE   —   one mark per arena, 0 to 5</t>
        </is>
      </c>
    </row>
    <row r="31" ht="28" customHeight="1">
      <c r="B31" s="5" t="inlineStr">
        <is>
          <t>Read the eleven areas each vendor rated themselves on, then give one mark per arena. Capacity has 3 areas, Scheduling 4, Engagement 4. Where Section C contradicts Section B, believe Section C.</t>
        </is>
      </c>
    </row>
    <row r="32" ht="21" customHeight="1">
      <c r="B32" s="7" t="inlineStr">
        <is>
          <t>5</t>
        </is>
      </c>
      <c r="C32" s="5" t="inlineStr">
        <is>
          <t>Covers essentially all of it</t>
        </is>
      </c>
      <c r="D32" s="8" t="inlineStr"/>
    </row>
    <row r="33" ht="21" customHeight="1">
      <c r="B33" s="7" t="inlineStr">
        <is>
          <t>4</t>
        </is>
      </c>
      <c r="C33" s="5" t="inlineStr">
        <is>
          <t>Covers most of it</t>
        </is>
      </c>
      <c r="D33" s="8" t="inlineStr"/>
    </row>
    <row r="34" ht="21" customHeight="1">
      <c r="B34" s="7" t="inlineStr">
        <is>
          <t>3</t>
        </is>
      </c>
      <c r="C34" s="5" t="inlineStr">
        <is>
          <t>Covers about half</t>
        </is>
      </c>
      <c r="D34" s="8" t="inlineStr"/>
    </row>
    <row r="35" ht="21" customHeight="1">
      <c r="B35" s="7" t="inlineStr">
        <is>
          <t>2</t>
        </is>
      </c>
      <c r="C35" s="5" t="inlineStr">
        <is>
          <t>Covers a few pieces</t>
        </is>
      </c>
      <c r="D35" s="8" t="inlineStr"/>
    </row>
    <row r="36" ht="21" customHeight="1">
      <c r="B36" s="7" t="inlineStr">
        <is>
          <t>1</t>
        </is>
      </c>
      <c r="C36" s="5" t="inlineStr">
        <is>
          <t>Touches one corner</t>
        </is>
      </c>
      <c r="D36" s="8" t="inlineStr"/>
    </row>
    <row r="37" ht="21" customHeight="1">
      <c r="B37" s="7" t="inlineStr">
        <is>
          <t>0</t>
        </is>
      </c>
      <c r="C37" s="5" t="inlineStr">
        <is>
          <t>Nothing here</t>
        </is>
      </c>
      <c r="D37" s="8" t="inlineStr"/>
    </row>
    <row r="38" ht="28" customHeight="1">
      <c r="B38" s="5" t="inlineStr">
        <is>
          <t>Six rungs because most of these are point solutions, not suites. Expect the field to land between 1 and 3, and expect 4 and 5 to go unused — that lower spread is the useful part, and it is a finding in itself if nobody reaches half of an arena.</t>
        </is>
      </c>
    </row>
    <row r="39" ht="10" customHeight="1"/>
    <row r="40" ht="22" customHeight="1">
      <c r="B40" s="4" t="inlineStr">
        <is>
          <t>SECTION C  ·  SOPHISTICATION   —   one mark, 0 to 4</t>
        </is>
      </c>
    </row>
    <row r="41" ht="41" customHeight="1">
      <c r="B41" s="5" t="inlineStr">
        <is>
          <t>How much of the work the product does. This is the Read / Assist / Control language already in our workbook. Score what the product does, not how much the vendor wrote about it — a short answer describing an optimiser still scores 4. How it does it is a demo question, not a reason to mark it down.</t>
        </is>
      </c>
    </row>
    <row r="42" ht="21" customHeight="1">
      <c r="B42" s="7" t="inlineStr">
        <is>
          <t>4</t>
        </is>
      </c>
      <c r="C42" s="5" t="inlineStr">
        <is>
          <t>Runs it — decides across the whole picture, and re-decides when things change</t>
        </is>
      </c>
      <c r="D42" s="8" t="inlineStr"/>
    </row>
    <row r="43" ht="21" customHeight="1">
      <c r="B43" s="7" t="inlineStr">
        <is>
          <t>3</t>
        </is>
      </c>
      <c r="C43" s="5" t="inlineStr">
        <is>
          <t>Recommends it — works out the answer and proposes it; a person confirms</t>
        </is>
      </c>
      <c r="D43" s="8" t="inlineStr"/>
    </row>
    <row r="44" ht="21" customHeight="1">
      <c r="B44" s="7" t="inlineStr">
        <is>
          <t>2</t>
        </is>
      </c>
      <c r="C44" s="5" t="inlineStr">
        <is>
          <t>Checks it — applies rules and flags problems; a person still works it</t>
        </is>
      </c>
      <c r="D44" s="8" t="inlineStr"/>
    </row>
    <row r="45" ht="21" customHeight="1">
      <c r="B45" s="7" t="inlineStr">
        <is>
          <t>1</t>
        </is>
      </c>
      <c r="C45" s="5" t="inlineStr">
        <is>
          <t>Shows it — surfaces the information; a person does all the work</t>
        </is>
      </c>
      <c r="D45" s="8" t="inlineStr"/>
    </row>
    <row r="46" ht="21" customHeight="1">
      <c r="B46" s="7" t="inlineStr">
        <is>
          <t>0</t>
        </is>
      </c>
      <c r="C46" s="5" t="inlineStr">
        <is>
          <t>Not addressed</t>
        </is>
      </c>
      <c r="D46" s="8" t="inlineStr"/>
    </row>
    <row r="47" ht="15" customHeight="1">
      <c r="B47" s="5" t="inlineStr">
        <is>
          <t>A 4 is not automatically what we want. Where we said Assist, a product that decides on its own is a risk worth a note.</t>
        </is>
      </c>
    </row>
    <row r="48" ht="10" customHeight="1"/>
    <row r="49" ht="22" customHeight="1">
      <c r="B49" s="4" t="inlineStr">
        <is>
          <t>SECTION D  ·  CLINICIAN FIT   —   one mark, 0 to 4</t>
        </is>
      </c>
    </row>
    <row r="50" ht="28" customHeight="1">
      <c r="B50" s="5" t="inlineStr">
        <is>
          <t>One question only: how much say does the clinician have over their own schedule? Many clinicians come to home health for the control it gives them over their week, so this is the adoption risk.</t>
        </is>
      </c>
    </row>
    <row r="51" ht="21" customHeight="1">
      <c r="B51" s="7" t="inlineStr">
        <is>
          <t>4</t>
        </is>
      </c>
      <c r="C51" s="5" t="inlineStr">
        <is>
          <t>They can shape their own schedule, and the product learns from it</t>
        </is>
      </c>
      <c r="D51" s="8" t="inlineStr"/>
    </row>
    <row r="52" ht="21" customHeight="1">
      <c r="B52" s="7" t="inlineStr">
        <is>
          <t>3</t>
        </is>
      </c>
      <c r="C52" s="5" t="inlineStr">
        <is>
          <t>They can decline or change an assignment themselves</t>
        </is>
      </c>
      <c r="D52" s="8" t="inlineStr"/>
    </row>
    <row r="53" ht="21" customHeight="1">
      <c r="B53" s="7" t="inlineStr">
        <is>
          <t>2</t>
        </is>
      </c>
      <c r="C53" s="5" t="inlineStr">
        <is>
          <t>They can raise it; someone else makes the change</t>
        </is>
      </c>
      <c r="D53" s="8" t="inlineStr"/>
    </row>
    <row r="54" ht="21" customHeight="1">
      <c r="B54" s="7" t="inlineStr">
        <is>
          <t>1</t>
        </is>
      </c>
      <c r="C54" s="5" t="inlineStr">
        <is>
          <t>The schedule is set for them, with no way to change it</t>
        </is>
      </c>
      <c r="D54" s="8" t="inlineStr"/>
    </row>
    <row r="55" ht="21" customHeight="1">
      <c r="B55" s="7" t="inlineStr">
        <is>
          <t>0</t>
        </is>
      </c>
      <c r="C55" s="5" t="inlineStr">
        <is>
          <t>Not answered</t>
        </is>
      </c>
      <c r="D55" s="8" t="inlineStr"/>
    </row>
    <row r="56" ht="28" customHeight="1">
      <c r="B56" s="5" t="inlineStr">
        <is>
          <t>This runs opposite to Sophistication on purpose. A product that decides everything scores 4 there and 1 here — and that is the real trade in this purchase, not a contradiction. A vendor strong on both has solved something hard.</t>
        </is>
      </c>
    </row>
    <row r="57" ht="28" customHeight="1">
      <c r="B57" s="5" t="inlineStr">
        <is>
          <t>Whether they showed adoption data is not on this scale. It is a note, not a score — a product can be well designed for clinicians and simply be young.</t>
        </is>
      </c>
    </row>
    <row r="58" ht="10" customHeight="1"/>
    <row r="59" ht="22" customHeight="1">
      <c r="B59" s="4" t="inlineStr">
        <is>
          <t>SECTION E  ·  PARTNERSHIP   —   one mark, 0 to 4</t>
        </is>
      </c>
    </row>
    <row r="60" ht="21" customHeight="1">
      <c r="B60" s="7" t="inlineStr">
        <is>
          <t>4</t>
        </is>
      </c>
      <c r="C60" s="5" t="inlineStr">
        <is>
          <t>Specific terms and a real change-management story</t>
        </is>
      </c>
      <c r="D60" s="8" t="inlineStr"/>
    </row>
    <row r="61" ht="21" customHeight="1">
      <c r="B61" s="7" t="inlineStr">
        <is>
          <t>3</t>
        </is>
      </c>
      <c r="C61" s="5" t="inlineStr">
        <is>
          <t>One of the two</t>
        </is>
      </c>
      <c r="D61" s="8" t="inlineStr"/>
    </row>
    <row r="62" ht="21" customHeight="1">
      <c r="B62" s="7" t="inlineStr">
        <is>
          <t>2</t>
        </is>
      </c>
      <c r="C62" s="5" t="inlineStr">
        <is>
          <t>Willing, but no structure offered</t>
        </is>
      </c>
      <c r="D62" s="8" t="inlineStr"/>
    </row>
    <row r="63" ht="21" customHeight="1">
      <c r="B63" s="7" t="inlineStr">
        <is>
          <t>1</t>
        </is>
      </c>
      <c r="C63" s="5" t="inlineStr">
        <is>
          <t>Standard commercial relationship only</t>
        </is>
      </c>
      <c r="D63" s="8" t="inlineStr"/>
    </row>
    <row r="64" ht="21" customHeight="1">
      <c r="B64" s="7" t="inlineStr">
        <is>
          <t>0</t>
        </is>
      </c>
      <c r="C64" s="5" t="inlineStr">
        <is>
          <t>Didn't answer</t>
        </is>
      </c>
      <c r="D64" s="8" t="inlineStr"/>
    </row>
    <row r="65" ht="15" customHeight="1">
      <c r="B65" s="5" t="inlineStr">
        <is>
          <t>Specific terms means design-partner pricing, co-development, roadmap governance, or a revenue or equity share. A discount is a discount.</t>
        </is>
      </c>
    </row>
    <row r="66" ht="10" customHeight="1"/>
    <row r="67" ht="22" customHeight="1">
      <c r="B67" s="4" t="inlineStr">
        <is>
          <t>THE THREE QUESTIONS THAT RAISE A FLAG INSTEAD</t>
        </is>
      </c>
    </row>
    <row r="68" ht="28" customHeight="1">
      <c r="B68" s="5" t="inlineStr">
        <is>
          <t>A vendor with no continuity commitment should be stopped and asked, not quietly docked a few points. Same for a vendor with one customer, or impact numbers with no baseline. Mark these OK, Watch or STOP-CHECK.</t>
        </is>
      </c>
    </row>
    <row r="69" ht="21" customHeight="1">
      <c r="B69" s="7" t="inlineStr">
        <is>
          <t>A2</t>
        </is>
      </c>
      <c r="C69" s="5" t="inlineStr">
        <is>
          <t>Customers, scale and references — STOP-CHECK if one customer, or no references offered</t>
        </is>
      </c>
      <c r="D69" s="8" t="inlineStr"/>
    </row>
    <row r="70" ht="21" customHeight="1">
      <c r="B70" s="7" t="inlineStr">
        <is>
          <t>A3</t>
        </is>
      </c>
      <c r="C70" s="5" t="inlineStr">
        <is>
          <t>Measured impact — Watch if claimed with no baseline or period</t>
        </is>
      </c>
      <c r="D70" s="8" t="inlineStr"/>
    </row>
    <row r="71" ht="21" customHeight="1">
      <c r="B71" s="7" t="inlineStr">
        <is>
          <t>C6</t>
        </is>
      </c>
      <c r="C71" s="5" t="inlineStr">
        <is>
          <t>When your product is down — STOP-CHECK if no uptime figure or contractual commitment</t>
        </is>
      </c>
      <c r="D71" s="8" t="inlineStr"/>
    </row>
    <row r="72" ht="10" customHeight="1"/>
    <row r="73" ht="22" customHeight="1">
      <c r="B73" s="4" t="inlineStr">
        <is>
          <t>BANDS   —   the same as the full scorecard</t>
        </is>
      </c>
    </row>
    <row r="74" ht="21" customHeight="1">
      <c r="B74" s="7" t="inlineStr">
        <is>
          <t>80–100</t>
        </is>
      </c>
      <c r="C74" s="5" t="inlineStr">
        <is>
          <t>Advance — demo, references, deeper diligence</t>
        </is>
      </c>
      <c r="D74" s="8" t="inlineStr"/>
    </row>
    <row r="75" ht="21" customHeight="1">
      <c r="B75" s="7" t="inlineStr">
        <is>
          <t>65–79</t>
        </is>
      </c>
      <c r="C75" s="5" t="inlineStr">
        <is>
          <t>Consider — only if something specific justifies it</t>
        </is>
      </c>
      <c r="D75" s="8" t="inlineStr"/>
    </row>
    <row r="76" ht="21" customHeight="1">
      <c r="B76" s="7" t="inlineStr">
        <is>
          <t>50–64</t>
        </is>
      </c>
      <c r="C76" s="5" t="inlineStr">
        <is>
          <t>Hold — park unless the field thins</t>
        </is>
      </c>
      <c r="D76" s="8" t="inlineStr"/>
    </row>
    <row r="77" ht="21" customHeight="1">
      <c r="B77" s="7" t="inlineStr">
        <is>
          <t>&lt; 50</t>
        </is>
      </c>
      <c r="C77" s="5" t="inlineStr">
        <is>
          <t>Decline — close out with thanks</t>
        </is>
      </c>
      <c r="D77" s="8" t="inlineStr"/>
    </row>
    <row r="78" ht="34" customHeight="1">
      <c r="B78" s="7" t="inlineStr">
        <is>
          <t>Conditional</t>
        </is>
      </c>
      <c r="C78" s="5" t="inlineStr">
        <is>
          <t>Shown whenever A1 scores under 12. Advancing means accepting an integration still to be built, on their timeline, at our risk.</t>
        </is>
      </c>
      <c r="D78" s="8" t="inlineStr"/>
    </row>
    <row r="80">
      <c r="B80" s="10" t="inlineStr">
        <is>
          <t>Fast scorecard v2.0  ·  questionnaire form_version 2026-08-19</t>
        </is>
      </c>
    </row>
  </sheetData>
  <mergeCells count="21">
    <mergeCell ref="B11:D11"/>
    <mergeCell ref="B67:D67"/>
    <mergeCell ref="B57:D57"/>
    <mergeCell ref="B8:D8"/>
    <mergeCell ref="B73:D73"/>
    <mergeCell ref="B38:D38"/>
    <mergeCell ref="B49:D49"/>
    <mergeCell ref="B40:D40"/>
    <mergeCell ref="B9:D9"/>
    <mergeCell ref="B30:D30"/>
    <mergeCell ref="B65:D65"/>
    <mergeCell ref="B68:D68"/>
    <mergeCell ref="B41:D41"/>
    <mergeCell ref="B4:D4"/>
    <mergeCell ref="B50:D50"/>
    <mergeCell ref="B7:D7"/>
    <mergeCell ref="B47:D47"/>
    <mergeCell ref="B59:D59"/>
    <mergeCell ref="B31:D31"/>
    <mergeCell ref="B22:D22"/>
    <mergeCell ref="B56:D56"/>
  </mergeCells>
  <pageMargins left="0.75" right="0.75" top="1" bottom="1" header="0.5" footer="0.5"/>
</worksheet>
</file>

<file path=xl/worksheets/sheet2.xml><?xml version="1.0" encoding="utf-8"?>
<worksheet xmlns="http://schemas.openxmlformats.org/spreadsheetml/2006/main">
  <sheetPr>
    <tabColor rgb="001B211E"/>
    <outlinePr summaryBelow="1" summaryRight="1"/>
    <pageSetUpPr/>
  </sheetPr>
  <dimension ref="B2:T36"/>
  <sheetViews>
    <sheetView showGridLines="0" zoomScale="90" workbookViewId="0">
      <pane xSplit="4" ySplit="6" topLeftCell="E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4" customWidth="1" min="3" max="3"/>
    <col width="4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2">
      <c r="B2" s="1" t="inlineStr">
        <is>
          <t>COMPASSUS  ·  HOME HEALTH</t>
        </is>
      </c>
    </row>
    <row r="3" ht="26" customHeight="1">
      <c r="B3" s="11" t="inlineStr">
        <is>
          <t>Vendor Scorecard — Fast</t>
        </is>
      </c>
    </row>
    <row r="4">
      <c r="B4" s="12" t="inlineStr">
        <is>
          <t>The rows are the questionnaire, in order. Seven take a mark; three raise a flag; the rest are notes. Grey cells are formulas.</t>
        </is>
      </c>
    </row>
    <row r="6" ht="42" customHeight="1">
      <c r="B6" s="13" t="inlineStr">
        <is>
          <t>VENDOR</t>
        </is>
      </c>
      <c r="E6" s="14" t="inlineStr">
        <is>
          <t>Vendor 01</t>
        </is>
      </c>
      <c r="F6" s="14" t="inlineStr">
        <is>
          <t>Vendor 02</t>
        </is>
      </c>
      <c r="G6" s="14" t="inlineStr">
        <is>
          <t>Vendor 03</t>
        </is>
      </c>
      <c r="H6" s="14" t="inlineStr">
        <is>
          <t>Vendor 04</t>
        </is>
      </c>
      <c r="I6" s="14" t="inlineStr">
        <is>
          <t>Vendor 05</t>
        </is>
      </c>
      <c r="J6" s="14" t="inlineStr">
        <is>
          <t>Vendor 06</t>
        </is>
      </c>
      <c r="K6" s="14" t="inlineStr">
        <is>
          <t>Vendor 07</t>
        </is>
      </c>
      <c r="L6" s="14" t="inlineStr">
        <is>
          <t>Vendor 08</t>
        </is>
      </c>
      <c r="M6" s="14" t="inlineStr">
        <is>
          <t>Vendor 09</t>
        </is>
      </c>
      <c r="N6" s="14" t="inlineStr">
        <is>
          <t>Vendor 10</t>
        </is>
      </c>
      <c r="O6" s="14" t="inlineStr">
        <is>
          <t>Vendor 11</t>
        </is>
      </c>
      <c r="P6" s="14" t="inlineStr">
        <is>
          <t>Vendor 12</t>
        </is>
      </c>
      <c r="Q6" s="14" t="inlineStr">
        <is>
          <t>Vendor 13</t>
        </is>
      </c>
      <c r="R6" s="14" t="inlineStr">
        <is>
          <t>Vendor 14</t>
        </is>
      </c>
      <c r="S6" s="14" t="inlineStr">
        <is>
          <t>Vendor 15</t>
        </is>
      </c>
      <c r="T6" s="14" t="inlineStr">
        <is>
          <t>Vendor 16</t>
        </is>
      </c>
    </row>
    <row r="8" ht="21" customHeight="1">
      <c r="B8" s="4" t="inlineStr">
        <is>
          <t>SCORE</t>
        </is>
      </c>
    </row>
    <row r="9" ht="26" customHeight="1">
      <c r="B9" s="15" t="inlineStr">
        <is>
          <t>TOTAL</t>
        </is>
      </c>
      <c r="C9" s="16" t="inlineStr">
        <is>
          <t>of 100</t>
        </is>
      </c>
      <c r="E9" s="17">
        <f>IFERROR(VLOOKUP(E14,Lists!$B$2:$C$7,2,FALSE),0)+IFERROR(VALUE(LEFT(E19,1)),0)/5*10+IFERROR(VALUE(LEFT(E20,1)),0)/5*10+IFERROR(VALUE(LEFT(E21,1)),0)/5*10+IFERROR(VALUE(LEFT(E24,1)),0)/4*20+IFERROR(VALUE(LEFT(E28,1)),0)/4*10+IFERROR(VALUE(LEFT(E31,1)),0)/4*15</f>
        <v/>
      </c>
      <c r="F9" s="17">
        <f>IFERROR(VLOOKUP(F14,Lists!$B$2:$C$7,2,FALSE),0)+IFERROR(VALUE(LEFT(F19,1)),0)/5*10+IFERROR(VALUE(LEFT(F20,1)),0)/5*10+IFERROR(VALUE(LEFT(F21,1)),0)/5*10+IFERROR(VALUE(LEFT(F24,1)),0)/4*20+IFERROR(VALUE(LEFT(F28,1)),0)/4*10+IFERROR(VALUE(LEFT(F31,1)),0)/4*15</f>
        <v/>
      </c>
      <c r="G9" s="17">
        <f>IFERROR(VLOOKUP(G14,Lists!$B$2:$C$7,2,FALSE),0)+IFERROR(VALUE(LEFT(G19,1)),0)/5*10+IFERROR(VALUE(LEFT(G20,1)),0)/5*10+IFERROR(VALUE(LEFT(G21,1)),0)/5*10+IFERROR(VALUE(LEFT(G24,1)),0)/4*20+IFERROR(VALUE(LEFT(G28,1)),0)/4*10+IFERROR(VALUE(LEFT(G31,1)),0)/4*15</f>
        <v/>
      </c>
      <c r="H9" s="17">
        <f>IFERROR(VLOOKUP(H14,Lists!$B$2:$C$7,2,FALSE),0)+IFERROR(VALUE(LEFT(H19,1)),0)/5*10+IFERROR(VALUE(LEFT(H20,1)),0)/5*10+IFERROR(VALUE(LEFT(H21,1)),0)/5*10+IFERROR(VALUE(LEFT(H24,1)),0)/4*20+IFERROR(VALUE(LEFT(H28,1)),0)/4*10+IFERROR(VALUE(LEFT(H31,1)),0)/4*15</f>
        <v/>
      </c>
      <c r="I9" s="17">
        <f>IFERROR(VLOOKUP(I14,Lists!$B$2:$C$7,2,FALSE),0)+IFERROR(VALUE(LEFT(I19,1)),0)/5*10+IFERROR(VALUE(LEFT(I20,1)),0)/5*10+IFERROR(VALUE(LEFT(I21,1)),0)/5*10+IFERROR(VALUE(LEFT(I24,1)),0)/4*20+IFERROR(VALUE(LEFT(I28,1)),0)/4*10+IFERROR(VALUE(LEFT(I31,1)),0)/4*15</f>
        <v/>
      </c>
      <c r="J9" s="17">
        <f>IFERROR(VLOOKUP(J14,Lists!$B$2:$C$7,2,FALSE),0)+IFERROR(VALUE(LEFT(J19,1)),0)/5*10+IFERROR(VALUE(LEFT(J20,1)),0)/5*10+IFERROR(VALUE(LEFT(J21,1)),0)/5*10+IFERROR(VALUE(LEFT(J24,1)),0)/4*20+IFERROR(VALUE(LEFT(J28,1)),0)/4*10+IFERROR(VALUE(LEFT(J31,1)),0)/4*15</f>
        <v/>
      </c>
      <c r="K9" s="17">
        <f>IFERROR(VLOOKUP(K14,Lists!$B$2:$C$7,2,FALSE),0)+IFERROR(VALUE(LEFT(K19,1)),0)/5*10+IFERROR(VALUE(LEFT(K20,1)),0)/5*10+IFERROR(VALUE(LEFT(K21,1)),0)/5*10+IFERROR(VALUE(LEFT(K24,1)),0)/4*20+IFERROR(VALUE(LEFT(K28,1)),0)/4*10+IFERROR(VALUE(LEFT(K31,1)),0)/4*15</f>
        <v/>
      </c>
      <c r="L9" s="17">
        <f>IFERROR(VLOOKUP(L14,Lists!$B$2:$C$7,2,FALSE),0)+IFERROR(VALUE(LEFT(L19,1)),0)/5*10+IFERROR(VALUE(LEFT(L20,1)),0)/5*10+IFERROR(VALUE(LEFT(L21,1)),0)/5*10+IFERROR(VALUE(LEFT(L24,1)),0)/4*20+IFERROR(VALUE(LEFT(L28,1)),0)/4*10+IFERROR(VALUE(LEFT(L31,1)),0)/4*15</f>
        <v/>
      </c>
      <c r="M9" s="17">
        <f>IFERROR(VLOOKUP(M14,Lists!$B$2:$C$7,2,FALSE),0)+IFERROR(VALUE(LEFT(M19,1)),0)/5*10+IFERROR(VALUE(LEFT(M20,1)),0)/5*10+IFERROR(VALUE(LEFT(M21,1)),0)/5*10+IFERROR(VALUE(LEFT(M24,1)),0)/4*20+IFERROR(VALUE(LEFT(M28,1)),0)/4*10+IFERROR(VALUE(LEFT(M31,1)),0)/4*15</f>
        <v/>
      </c>
      <c r="N9" s="17">
        <f>IFERROR(VLOOKUP(N14,Lists!$B$2:$C$7,2,FALSE),0)+IFERROR(VALUE(LEFT(N19,1)),0)/5*10+IFERROR(VALUE(LEFT(N20,1)),0)/5*10+IFERROR(VALUE(LEFT(N21,1)),0)/5*10+IFERROR(VALUE(LEFT(N24,1)),0)/4*20+IFERROR(VALUE(LEFT(N28,1)),0)/4*10+IFERROR(VALUE(LEFT(N31,1)),0)/4*15</f>
        <v/>
      </c>
      <c r="O9" s="17">
        <f>IFERROR(VLOOKUP(O14,Lists!$B$2:$C$7,2,FALSE),0)+IFERROR(VALUE(LEFT(O19,1)),0)/5*10+IFERROR(VALUE(LEFT(O20,1)),0)/5*10+IFERROR(VALUE(LEFT(O21,1)),0)/5*10+IFERROR(VALUE(LEFT(O24,1)),0)/4*20+IFERROR(VALUE(LEFT(O28,1)),0)/4*10+IFERROR(VALUE(LEFT(O31,1)),0)/4*15</f>
        <v/>
      </c>
      <c r="P9" s="17">
        <f>IFERROR(VLOOKUP(P14,Lists!$B$2:$C$7,2,FALSE),0)+IFERROR(VALUE(LEFT(P19,1)),0)/5*10+IFERROR(VALUE(LEFT(P20,1)),0)/5*10+IFERROR(VALUE(LEFT(P21,1)),0)/5*10+IFERROR(VALUE(LEFT(P24,1)),0)/4*20+IFERROR(VALUE(LEFT(P28,1)),0)/4*10+IFERROR(VALUE(LEFT(P31,1)),0)/4*15</f>
        <v/>
      </c>
      <c r="Q9" s="17">
        <f>IFERROR(VLOOKUP(Q14,Lists!$B$2:$C$7,2,FALSE),0)+IFERROR(VALUE(LEFT(Q19,1)),0)/5*10+IFERROR(VALUE(LEFT(Q20,1)),0)/5*10+IFERROR(VALUE(LEFT(Q21,1)),0)/5*10+IFERROR(VALUE(LEFT(Q24,1)),0)/4*20+IFERROR(VALUE(LEFT(Q28,1)),0)/4*10+IFERROR(VALUE(LEFT(Q31,1)),0)/4*15</f>
        <v/>
      </c>
      <c r="R9" s="17">
        <f>IFERROR(VLOOKUP(R14,Lists!$B$2:$C$7,2,FALSE),0)+IFERROR(VALUE(LEFT(R19,1)),0)/5*10+IFERROR(VALUE(LEFT(R20,1)),0)/5*10+IFERROR(VALUE(LEFT(R21,1)),0)/5*10+IFERROR(VALUE(LEFT(R24,1)),0)/4*20+IFERROR(VALUE(LEFT(R28,1)),0)/4*10+IFERROR(VALUE(LEFT(R31,1)),0)/4*15</f>
        <v/>
      </c>
      <c r="S9" s="17">
        <f>IFERROR(VLOOKUP(S14,Lists!$B$2:$C$7,2,FALSE),0)+IFERROR(VALUE(LEFT(S19,1)),0)/5*10+IFERROR(VALUE(LEFT(S20,1)),0)/5*10+IFERROR(VALUE(LEFT(S21,1)),0)/5*10+IFERROR(VALUE(LEFT(S24,1)),0)/4*20+IFERROR(VALUE(LEFT(S28,1)),0)/4*10+IFERROR(VALUE(LEFT(S31,1)),0)/4*15</f>
        <v/>
      </c>
      <c r="T9" s="17">
        <f>IFERROR(VLOOKUP(T14,Lists!$B$2:$C$7,2,FALSE),0)+IFERROR(VALUE(LEFT(T19,1)),0)/5*10+IFERROR(VALUE(LEFT(T20,1)),0)/5*10+IFERROR(VALUE(LEFT(T21,1)),0)/5*10+IFERROR(VALUE(LEFT(T24,1)),0)/4*20+IFERROR(VALUE(LEFT(T28,1)),0)/4*10+IFERROR(VALUE(LEFT(T31,1)),0)/4*15</f>
        <v/>
      </c>
    </row>
    <row r="10">
      <c r="B10" s="18" t="inlineStr">
        <is>
          <t>Band</t>
        </is>
      </c>
      <c r="C10" s="16" t="inlineStr">
        <is>
          <t>80 Advance · 65 Consider · 50 Hold</t>
        </is>
      </c>
      <c r="E10" s="19">
        <f>IF(IFERROR(VLOOKUP(E14,Lists!$B$2:$C$7,2,FALSE),0)&lt;12,"Conditional — ","")&amp;IF(E9&gt;=80,"Advance",IF(E9&gt;=65,"Consider",IF(E9&gt;=50,"Hold","Decline")))</f>
        <v/>
      </c>
      <c r="F10" s="19">
        <f>IF(IFERROR(VLOOKUP(F14,Lists!$B$2:$C$7,2,FALSE),0)&lt;12,"Conditional — ","")&amp;IF(F9&gt;=80,"Advance",IF(F9&gt;=65,"Consider",IF(F9&gt;=50,"Hold","Decline")))</f>
        <v/>
      </c>
      <c r="G10" s="19">
        <f>IF(IFERROR(VLOOKUP(G14,Lists!$B$2:$C$7,2,FALSE),0)&lt;12,"Conditional — ","")&amp;IF(G9&gt;=80,"Advance",IF(G9&gt;=65,"Consider",IF(G9&gt;=50,"Hold","Decline")))</f>
        <v/>
      </c>
      <c r="H10" s="19">
        <f>IF(IFERROR(VLOOKUP(H14,Lists!$B$2:$C$7,2,FALSE),0)&lt;12,"Conditional — ","")&amp;IF(H9&gt;=80,"Advance",IF(H9&gt;=65,"Consider",IF(H9&gt;=50,"Hold","Decline")))</f>
        <v/>
      </c>
      <c r="I10" s="19">
        <f>IF(IFERROR(VLOOKUP(I14,Lists!$B$2:$C$7,2,FALSE),0)&lt;12,"Conditional — ","")&amp;IF(I9&gt;=80,"Advance",IF(I9&gt;=65,"Consider",IF(I9&gt;=50,"Hold","Decline")))</f>
        <v/>
      </c>
      <c r="J10" s="19">
        <f>IF(IFERROR(VLOOKUP(J14,Lists!$B$2:$C$7,2,FALSE),0)&lt;12,"Conditional — ","")&amp;IF(J9&gt;=80,"Advance",IF(J9&gt;=65,"Consider",IF(J9&gt;=50,"Hold","Decline")))</f>
        <v/>
      </c>
      <c r="K10" s="19">
        <f>IF(IFERROR(VLOOKUP(K14,Lists!$B$2:$C$7,2,FALSE),0)&lt;12,"Conditional — ","")&amp;IF(K9&gt;=80,"Advance",IF(K9&gt;=65,"Consider",IF(K9&gt;=50,"Hold","Decline")))</f>
        <v/>
      </c>
      <c r="L10" s="19">
        <f>IF(IFERROR(VLOOKUP(L14,Lists!$B$2:$C$7,2,FALSE),0)&lt;12,"Conditional — ","")&amp;IF(L9&gt;=80,"Advance",IF(L9&gt;=65,"Consider",IF(L9&gt;=50,"Hold","Decline")))</f>
        <v/>
      </c>
      <c r="M10" s="19">
        <f>IF(IFERROR(VLOOKUP(M14,Lists!$B$2:$C$7,2,FALSE),0)&lt;12,"Conditional — ","")&amp;IF(M9&gt;=80,"Advance",IF(M9&gt;=65,"Consider",IF(M9&gt;=50,"Hold","Decline")))</f>
        <v/>
      </c>
      <c r="N10" s="19">
        <f>IF(IFERROR(VLOOKUP(N14,Lists!$B$2:$C$7,2,FALSE),0)&lt;12,"Conditional — ","")&amp;IF(N9&gt;=80,"Advance",IF(N9&gt;=65,"Consider",IF(N9&gt;=50,"Hold","Decline")))</f>
        <v/>
      </c>
      <c r="O10" s="19">
        <f>IF(IFERROR(VLOOKUP(O14,Lists!$B$2:$C$7,2,FALSE),0)&lt;12,"Conditional — ","")&amp;IF(O9&gt;=80,"Advance",IF(O9&gt;=65,"Consider",IF(O9&gt;=50,"Hold","Decline")))</f>
        <v/>
      </c>
      <c r="P10" s="19">
        <f>IF(IFERROR(VLOOKUP(P14,Lists!$B$2:$C$7,2,FALSE),0)&lt;12,"Conditional — ","")&amp;IF(P9&gt;=80,"Advance",IF(P9&gt;=65,"Consider",IF(P9&gt;=50,"Hold","Decline")))</f>
        <v/>
      </c>
      <c r="Q10" s="19">
        <f>IF(IFERROR(VLOOKUP(Q14,Lists!$B$2:$C$7,2,FALSE),0)&lt;12,"Conditional — ","")&amp;IF(Q9&gt;=80,"Advance",IF(Q9&gt;=65,"Consider",IF(Q9&gt;=50,"Hold","Decline")))</f>
        <v/>
      </c>
      <c r="R10" s="19">
        <f>IF(IFERROR(VLOOKUP(R14,Lists!$B$2:$C$7,2,FALSE),0)&lt;12,"Conditional — ","")&amp;IF(R9&gt;=80,"Advance",IF(R9&gt;=65,"Consider",IF(R9&gt;=50,"Hold","Decline")))</f>
        <v/>
      </c>
      <c r="S10" s="19">
        <f>IF(IFERROR(VLOOKUP(S14,Lists!$B$2:$C$7,2,FALSE),0)&lt;12,"Conditional — ","")&amp;IF(S9&gt;=80,"Advance",IF(S9&gt;=65,"Consider",IF(S9&gt;=50,"Hold","Decline")))</f>
        <v/>
      </c>
      <c r="T10" s="19">
        <f>IF(IFERROR(VLOOKUP(T14,Lists!$B$2:$C$7,2,FALSE),0)&lt;12,"Conditional — ","")&amp;IF(T9&gt;=80,"Advance",IF(T9&gt;=65,"Consider",IF(T9&gt;=50,"Hold","Decline")))</f>
        <v/>
      </c>
    </row>
    <row r="11">
      <c r="B11" s="20" t="inlineStr">
        <is>
          <t>Flags</t>
        </is>
      </c>
      <c r="C11" s="16" t="inlineStr">
        <is>
          <t>stop-checks raised, of three</t>
        </is>
      </c>
      <c r="E11" s="21">
        <f>(IF(E15="STOP-CHECK",1,0)+IF(E16="STOP-CHECK",1,0)+IF(E25="STOP-CHECK",1,0))</f>
        <v/>
      </c>
      <c r="F11" s="21">
        <f>(IF(F15="STOP-CHECK",1,0)+IF(F16="STOP-CHECK",1,0)+IF(F25="STOP-CHECK",1,0))</f>
        <v/>
      </c>
      <c r="G11" s="21">
        <f>(IF(G15="STOP-CHECK",1,0)+IF(G16="STOP-CHECK",1,0)+IF(G25="STOP-CHECK",1,0))</f>
        <v/>
      </c>
      <c r="H11" s="21">
        <f>(IF(H15="STOP-CHECK",1,0)+IF(H16="STOP-CHECK",1,0)+IF(H25="STOP-CHECK",1,0))</f>
        <v/>
      </c>
      <c r="I11" s="21">
        <f>(IF(I15="STOP-CHECK",1,0)+IF(I16="STOP-CHECK",1,0)+IF(I25="STOP-CHECK",1,0))</f>
        <v/>
      </c>
      <c r="J11" s="21">
        <f>(IF(J15="STOP-CHECK",1,0)+IF(J16="STOP-CHECK",1,0)+IF(J25="STOP-CHECK",1,0))</f>
        <v/>
      </c>
      <c r="K11" s="21">
        <f>(IF(K15="STOP-CHECK",1,0)+IF(K16="STOP-CHECK",1,0)+IF(K25="STOP-CHECK",1,0))</f>
        <v/>
      </c>
      <c r="L11" s="21">
        <f>(IF(L15="STOP-CHECK",1,0)+IF(L16="STOP-CHECK",1,0)+IF(L25="STOP-CHECK",1,0))</f>
        <v/>
      </c>
      <c r="M11" s="21">
        <f>(IF(M15="STOP-CHECK",1,0)+IF(M16="STOP-CHECK",1,0)+IF(M25="STOP-CHECK",1,0))</f>
        <v/>
      </c>
      <c r="N11" s="21">
        <f>(IF(N15="STOP-CHECK",1,0)+IF(N16="STOP-CHECK",1,0)+IF(N25="STOP-CHECK",1,0))</f>
        <v/>
      </c>
      <c r="O11" s="21">
        <f>(IF(O15="STOP-CHECK",1,0)+IF(O16="STOP-CHECK",1,0)+IF(O25="STOP-CHECK",1,0))</f>
        <v/>
      </c>
      <c r="P11" s="21">
        <f>(IF(P15="STOP-CHECK",1,0)+IF(P16="STOP-CHECK",1,0)+IF(P25="STOP-CHECK",1,0))</f>
        <v/>
      </c>
      <c r="Q11" s="21">
        <f>(IF(Q15="STOP-CHECK",1,0)+IF(Q16="STOP-CHECK",1,0)+IF(Q25="STOP-CHECK",1,0))</f>
        <v/>
      </c>
      <c r="R11" s="21">
        <f>(IF(R15="STOP-CHECK",1,0)+IF(R16="STOP-CHECK",1,0)+IF(R25="STOP-CHECK",1,0))</f>
        <v/>
      </c>
      <c r="S11" s="21">
        <f>(IF(S15="STOP-CHECK",1,0)+IF(S16="STOP-CHECK",1,0)+IF(S25="STOP-CHECK",1,0))</f>
        <v/>
      </c>
      <c r="T11" s="21">
        <f>(IF(T15="STOP-CHECK",1,0)+IF(T16="STOP-CHECK",1,0)+IF(T25="STOP-CHECK",1,0))</f>
        <v/>
      </c>
    </row>
    <row r="13" ht="21" customHeight="1">
      <c r="B13" s="4" t="inlineStr">
        <is>
          <t>A  ·  COMPANY AND PRODUCT</t>
        </is>
      </c>
    </row>
    <row r="14" ht="24" customHeight="1">
      <c r="B14" s="22" t="inlineStr">
        <is>
          <t>A1</t>
        </is>
      </c>
      <c r="C14" s="23" t="inlineStr">
        <is>
          <t>Home Care Home Base integration</t>
        </is>
      </c>
      <c r="D14" s="16" t="inlineStr">
        <is>
          <t>Pick one line  ·  25 points</t>
        </is>
      </c>
      <c r="E14" s="24" t="n"/>
      <c r="F14" s="24" t="n"/>
      <c r="G14" s="24" t="n"/>
      <c r="H14" s="24" t="n"/>
      <c r="I14" s="24" t="n"/>
      <c r="J14" s="24" t="n"/>
      <c r="K14" s="24" t="n"/>
      <c r="L14" s="24" t="n"/>
      <c r="M14" s="24" t="n"/>
      <c r="N14" s="24" t="n"/>
      <c r="O14" s="24" t="n"/>
      <c r="P14" s="24" t="n"/>
      <c r="Q14" s="24" t="n"/>
      <c r="R14" s="24" t="n"/>
      <c r="S14" s="24" t="n"/>
      <c r="T14" s="24" t="n"/>
    </row>
    <row r="15" ht="19" customHeight="1">
      <c r="B15" s="25" t="inlineStr">
        <is>
          <t>A2</t>
        </is>
      </c>
      <c r="C15" s="23" t="inlineStr">
        <is>
          <t>Customers, scale and references</t>
        </is>
      </c>
      <c r="D15" s="16" t="inlineStr">
        <is>
          <t>Flag  ·  stop-check if one customer or no references</t>
        </is>
      </c>
      <c r="E15" s="26" t="n"/>
      <c r="F15" s="26" t="n"/>
      <c r="G15" s="26" t="n"/>
      <c r="H15" s="26" t="n"/>
      <c r="I15" s="26" t="n"/>
      <c r="J15" s="26" t="n"/>
      <c r="K15" s="26" t="n"/>
      <c r="L15" s="26" t="n"/>
      <c r="M15" s="26" t="n"/>
      <c r="N15" s="26" t="n"/>
      <c r="O15" s="26" t="n"/>
      <c r="P15" s="26" t="n"/>
      <c r="Q15" s="26" t="n"/>
      <c r="R15" s="26" t="n"/>
      <c r="S15" s="26" t="n"/>
      <c r="T15" s="26" t="n"/>
    </row>
    <row r="16" ht="19" customHeight="1">
      <c r="B16" s="25" t="inlineStr">
        <is>
          <t>A3</t>
        </is>
      </c>
      <c r="C16" s="23" t="inlineStr">
        <is>
          <t>Measured impact</t>
        </is>
      </c>
      <c r="D16" s="16" t="inlineStr">
        <is>
          <t>Flag  ·  watch if no baseline or period</t>
        </is>
      </c>
      <c r="E16" s="26" t="n"/>
      <c r="F16" s="26" t="n"/>
      <c r="G16" s="26" t="n"/>
      <c r="H16" s="26" t="n"/>
      <c r="I16" s="26" t="n"/>
      <c r="J16" s="26" t="n"/>
      <c r="K16" s="26" t="n"/>
      <c r="L16" s="26" t="n"/>
      <c r="M16" s="26" t="n"/>
      <c r="N16" s="26" t="n"/>
      <c r="O16" s="26" t="n"/>
      <c r="P16" s="26" t="n"/>
      <c r="Q16" s="26" t="n"/>
      <c r="R16" s="26" t="n"/>
      <c r="S16" s="26" t="n"/>
      <c r="T16" s="26" t="n"/>
    </row>
    <row r="18" ht="21" customHeight="1">
      <c r="B18" s="4" t="inlineStr">
        <is>
          <t>B  ·  COVERAGE SELF-ASSESSMENT   —   how much of our scope they cover</t>
        </is>
      </c>
    </row>
    <row r="19" ht="19" customHeight="1">
      <c r="B19" s="27" t="inlineStr">
        <is>
          <t>Section B</t>
        </is>
      </c>
      <c r="C19" s="23" t="inlineStr">
        <is>
          <t>Capacity</t>
        </is>
      </c>
      <c r="D19" s="16" t="inlineStr">
        <is>
          <t>Workforce supply · availability &amp; reach · the capacity math  ·  0–5  ·  10 points</t>
        </is>
      </c>
      <c r="E19" s="28" t="n"/>
      <c r="F19" s="28" t="n"/>
      <c r="G19" s="28" t="n"/>
      <c r="H19" s="28" t="n"/>
      <c r="I19" s="28" t="n"/>
      <c r="J19" s="28" t="n"/>
      <c r="K19" s="28" t="n"/>
      <c r="L19" s="28" t="n"/>
      <c r="M19" s="28" t="n"/>
      <c r="N19" s="28" t="n"/>
      <c r="O19" s="28" t="n"/>
      <c r="P19" s="28" t="n"/>
      <c r="Q19" s="28" t="n"/>
      <c r="R19" s="28" t="n"/>
      <c r="S19" s="28" t="n"/>
      <c r="T19" s="28" t="n"/>
    </row>
    <row r="20" ht="19" customHeight="1">
      <c r="B20" s="29" t="inlineStr">
        <is>
          <t>Section B</t>
        </is>
      </c>
      <c r="C20" s="23" t="inlineStr">
        <is>
          <t>Scheduling</t>
        </is>
      </c>
      <c r="D20" s="16" t="inlineStr">
        <is>
          <t>Demand · matching · routing &amp; the week · exceptions  ·  0–5  ·  10 points</t>
        </is>
      </c>
      <c r="E20" s="28" t="n"/>
      <c r="F20" s="28" t="n"/>
      <c r="G20" s="28" t="n"/>
      <c r="H20" s="28" t="n"/>
      <c r="I20" s="28" t="n"/>
      <c r="J20" s="28" t="n"/>
      <c r="K20" s="28" t="n"/>
      <c r="L20" s="28" t="n"/>
      <c r="M20" s="28" t="n"/>
      <c r="N20" s="28" t="n"/>
      <c r="O20" s="28" t="n"/>
      <c r="P20" s="28" t="n"/>
      <c r="Q20" s="28" t="n"/>
      <c r="R20" s="28" t="n"/>
      <c r="S20" s="28" t="n"/>
      <c r="T20" s="28" t="n"/>
    </row>
    <row r="21" ht="19" customHeight="1">
      <c r="B21" s="30" t="inlineStr">
        <is>
          <t>Section B</t>
        </is>
      </c>
      <c r="C21" s="23" t="inlineStr">
        <is>
          <t>Engagement</t>
        </is>
      </c>
      <c r="D21" s="16" t="inlineStr">
        <is>
          <t>Before the visit · when plans change · incentives · care team  ·  0–5  ·  10 points</t>
        </is>
      </c>
      <c r="E21" s="28" t="n"/>
      <c r="F21" s="28" t="n"/>
      <c r="G21" s="28" t="n"/>
      <c r="H21" s="28" t="n"/>
      <c r="I21" s="28" t="n"/>
      <c r="J21" s="28" t="n"/>
      <c r="K21" s="28" t="n"/>
      <c r="L21" s="28" t="n"/>
      <c r="M21" s="28" t="n"/>
      <c r="N21" s="28" t="n"/>
      <c r="O21" s="28" t="n"/>
      <c r="P21" s="28" t="n"/>
      <c r="Q21" s="28" t="n"/>
      <c r="R21" s="28" t="n"/>
      <c r="S21" s="28" t="n"/>
      <c r="T21" s="28" t="n"/>
    </row>
    <row r="23" ht="21" customHeight="1">
      <c r="B23" s="4" t="inlineStr">
        <is>
          <t>C  ·  HOW YOUR PRODUCT WORKS</t>
        </is>
      </c>
    </row>
    <row r="24" ht="24" customHeight="1">
      <c r="B24" s="31" t="inlineStr">
        <is>
          <t>C1–C5, C7</t>
        </is>
      </c>
      <c r="C24" s="23" t="inlineStr">
        <is>
          <t>Sophistication</t>
        </is>
      </c>
      <c r="D24" s="16" t="inlineStr">
        <is>
          <t>How much of the work it does  ·  0–4  ·  20 points</t>
        </is>
      </c>
      <c r="E24" s="28" t="n"/>
      <c r="F24" s="28" t="n"/>
      <c r="G24" s="28" t="n"/>
      <c r="H24" s="28" t="n"/>
      <c r="I24" s="28" t="n"/>
      <c r="J24" s="28" t="n"/>
      <c r="K24" s="28" t="n"/>
      <c r="L24" s="28" t="n"/>
      <c r="M24" s="28" t="n"/>
      <c r="N24" s="28" t="n"/>
      <c r="O24" s="28" t="n"/>
      <c r="P24" s="28" t="n"/>
      <c r="Q24" s="28" t="n"/>
      <c r="R24" s="28" t="n"/>
      <c r="S24" s="28" t="n"/>
      <c r="T24" s="28" t="n"/>
    </row>
    <row r="25" ht="19" customHeight="1">
      <c r="B25" s="25" t="inlineStr">
        <is>
          <t>C6</t>
        </is>
      </c>
      <c r="C25" s="23" t="inlineStr">
        <is>
          <t>When your product is down</t>
        </is>
      </c>
      <c r="D25" s="16" t="inlineStr">
        <is>
          <t>Flag  ·  stop-check if no uptime figure or commitment</t>
        </is>
      </c>
      <c r="E25" s="26" t="n"/>
      <c r="F25" s="26" t="n"/>
      <c r="G25" s="26" t="n"/>
      <c r="H25" s="26" t="n"/>
      <c r="I25" s="26" t="n"/>
      <c r="J25" s="26" t="n"/>
      <c r="K25" s="26" t="n"/>
      <c r="L25" s="26" t="n"/>
      <c r="M25" s="26" t="n"/>
      <c r="N25" s="26" t="n"/>
      <c r="O25" s="26" t="n"/>
      <c r="P25" s="26" t="n"/>
      <c r="Q25" s="26" t="n"/>
      <c r="R25" s="26" t="n"/>
      <c r="S25" s="26" t="n"/>
      <c r="T25" s="26" t="n"/>
    </row>
    <row r="27" ht="21" customHeight="1">
      <c r="B27" s="4" t="inlineStr">
        <is>
          <t>D  ·  THE CLINICIAN'S PLACE IN THE MODEL</t>
        </is>
      </c>
    </row>
    <row r="28" ht="24" customHeight="1">
      <c r="B28" s="32" t="inlineStr">
        <is>
          <t>D1–D3</t>
        </is>
      </c>
      <c r="C28" s="23" t="inlineStr">
        <is>
          <t>Clinician fit</t>
        </is>
      </c>
      <c r="D28" s="16" t="inlineStr">
        <is>
          <t>How much say the clinician has  ·  0–4  ·  10 points</t>
        </is>
      </c>
      <c r="E28" s="28" t="n"/>
      <c r="F28" s="28" t="n"/>
      <c r="G28" s="28" t="n"/>
      <c r="H28" s="28" t="n"/>
      <c r="I28" s="28" t="n"/>
      <c r="J28" s="28" t="n"/>
      <c r="K28" s="28" t="n"/>
      <c r="L28" s="28" t="n"/>
      <c r="M28" s="28" t="n"/>
      <c r="N28" s="28" t="n"/>
      <c r="O28" s="28" t="n"/>
      <c r="P28" s="28" t="n"/>
      <c r="Q28" s="28" t="n"/>
      <c r="R28" s="28" t="n"/>
      <c r="S28" s="28" t="n"/>
      <c r="T28" s="28" t="n"/>
    </row>
    <row r="30" ht="21" customHeight="1">
      <c r="B30" s="4" t="inlineStr">
        <is>
          <t>E  ·  FIT AND PARTNERSHIP</t>
        </is>
      </c>
    </row>
    <row r="31" ht="24" customHeight="1">
      <c r="B31" s="32" t="inlineStr">
        <is>
          <t>E1–E4</t>
        </is>
      </c>
      <c r="C31" s="23" t="inlineStr">
        <is>
          <t>Partnership</t>
        </is>
      </c>
      <c r="D31" s="16" t="inlineStr">
        <is>
          <t>Terms offered, and the change-management story  ·  0–4  ·  15 points</t>
        </is>
      </c>
      <c r="E31" s="28" t="n"/>
      <c r="F31" s="28" t="n"/>
      <c r="G31" s="28" t="n"/>
      <c r="H31" s="28" t="n"/>
      <c r="I31" s="28" t="n"/>
      <c r="J31" s="28" t="n"/>
      <c r="K31" s="28" t="n"/>
      <c r="L31" s="28" t="n"/>
      <c r="M31" s="28" t="n"/>
      <c r="N31" s="28" t="n"/>
      <c r="O31" s="28" t="n"/>
      <c r="P31" s="28" t="n"/>
      <c r="Q31" s="28" t="n"/>
      <c r="R31" s="28" t="n"/>
      <c r="S31" s="28" t="n"/>
      <c r="T31" s="28" t="n"/>
    </row>
    <row r="33" ht="21" customHeight="1">
      <c r="B33" s="33" t="inlineStr">
        <is>
          <t>NOTES   —   one line each.  This is what we go and ask.</t>
        </is>
      </c>
    </row>
    <row r="34" ht="62" customHeight="1">
      <c r="B34" s="34" t="inlineStr"/>
      <c r="C34" s="35" t="inlineStr">
        <is>
          <t>What stands out</t>
        </is>
      </c>
      <c r="D34" s="36" t="inlineStr">
        <is>
          <t>against the field, or against our own thinking</t>
        </is>
      </c>
      <c r="E34" s="37" t="n"/>
      <c r="F34" s="37" t="n"/>
      <c r="G34" s="37" t="n"/>
      <c r="H34" s="37" t="n"/>
      <c r="I34" s="37" t="n"/>
      <c r="J34" s="37" t="n"/>
      <c r="K34" s="37" t="n"/>
      <c r="L34" s="37" t="n"/>
      <c r="M34" s="37" t="n"/>
      <c r="N34" s="37" t="n"/>
      <c r="O34" s="37" t="n"/>
      <c r="P34" s="37" t="n"/>
      <c r="Q34" s="37" t="n"/>
      <c r="R34" s="37" t="n"/>
      <c r="S34" s="37" t="n"/>
      <c r="T34" s="37" t="n"/>
    </row>
    <row r="35" ht="62" customHeight="1">
      <c r="B35" s="34" t="inlineStr"/>
      <c r="C35" s="35" t="inlineStr">
        <is>
          <t>What worries me</t>
        </is>
      </c>
      <c r="D35" s="36" t="inlineStr">
        <is>
          <t>including anything flagged above</t>
        </is>
      </c>
      <c r="E35" s="37" t="n"/>
      <c r="F35" s="37" t="n"/>
      <c r="G35" s="37" t="n"/>
      <c r="H35" s="37" t="n"/>
      <c r="I35" s="37" t="n"/>
      <c r="J35" s="37" t="n"/>
      <c r="K35" s="37" t="n"/>
      <c r="L35" s="37" t="n"/>
      <c r="M35" s="37" t="n"/>
      <c r="N35" s="37" t="n"/>
      <c r="O35" s="37" t="n"/>
      <c r="P35" s="37" t="n"/>
      <c r="Q35" s="37" t="n"/>
      <c r="R35" s="37" t="n"/>
      <c r="S35" s="37" t="n"/>
      <c r="T35" s="37" t="n"/>
    </row>
    <row r="36" ht="62" customHeight="1">
      <c r="B36" s="34" t="inlineStr"/>
      <c r="C36" s="35" t="inlineStr">
        <is>
          <t>What to go and ask</t>
        </is>
      </c>
      <c r="D36" s="36" t="inlineStr">
        <is>
          <t>the demo agenda</t>
        </is>
      </c>
      <c r="E36" s="37" t="n"/>
      <c r="F36" s="37" t="n"/>
      <c r="G36" s="37" t="n"/>
      <c r="H36" s="37" t="n"/>
      <c r="I36" s="37" t="n"/>
      <c r="J36" s="37" t="n"/>
      <c r="K36" s="37" t="n"/>
      <c r="L36" s="37" t="n"/>
      <c r="M36" s="37" t="n"/>
      <c r="N36" s="37" t="n"/>
      <c r="O36" s="37" t="n"/>
      <c r="P36" s="37" t="n"/>
      <c r="Q36" s="37" t="n"/>
      <c r="R36" s="37" t="n"/>
      <c r="S36" s="37" t="n"/>
      <c r="T36" s="37" t="n"/>
    </row>
  </sheetData>
  <mergeCells count="8">
    <mergeCell ref="B23:T23"/>
    <mergeCell ref="B8:T8"/>
    <mergeCell ref="B18:T18"/>
    <mergeCell ref="B13:T13"/>
    <mergeCell ref="B27:T27"/>
    <mergeCell ref="B4:T4"/>
    <mergeCell ref="B30:T30"/>
    <mergeCell ref="B33:T33"/>
  </mergeCells>
  <conditionalFormatting sqref="E9:T9">
    <cfRule type="colorScale" priority="1">
      <colorScale>
        <cfvo type="num" val="40"/>
        <cfvo type="num" val="65"/>
        <cfvo type="num" val="90"/>
        <color rgb="00F5E3E3"/>
        <color rgb="00FBF3DD"/>
        <color rgb="00DDEBE0"/>
      </colorScale>
    </cfRule>
  </conditionalFormatting>
  <conditionalFormatting sqref="E10:T10">
    <cfRule type="expression" priority="2" dxfId="0">
      <formula>ISNUMBER(SEARCH("Conditional",E10))</formula>
    </cfRule>
  </conditionalFormatting>
  <conditionalFormatting sqref="E11:T11">
    <cfRule type="expression" priority="3" dxfId="0">
      <formula>E11&gt;0</formula>
    </cfRule>
  </conditionalFormatting>
  <conditionalFormatting sqref="E15:T15">
    <cfRule type="expression" priority="4" dxfId="1">
      <formula>E15="STOP-CHECK"</formula>
    </cfRule>
  </conditionalFormatting>
  <conditionalFormatting sqref="E16:T16">
    <cfRule type="expression" priority="5" dxfId="1">
      <formula>E16="STOP-CHECK"</formula>
    </cfRule>
  </conditionalFormatting>
  <conditionalFormatting sqref="E25:T25">
    <cfRule type="expression" priority="6" dxfId="1">
      <formula>E25="STOP-CHECK"</formula>
    </cfRule>
  </conditionalFormatting>
  <conditionalFormatting sqref="E19:T19">
    <cfRule type="colorScale" priority="7">
      <colorScale>
        <cfvo type="num" val="0"/>
        <cfvo type="num" val="5"/>
        <color rgb="00FFFFFF"/>
        <color rgb="001F6F78"/>
      </colorScale>
    </cfRule>
  </conditionalFormatting>
  <conditionalFormatting sqref="E20:T20">
    <cfRule type="colorScale" priority="8">
      <colorScale>
        <cfvo type="num" val="0"/>
        <cfvo type="num" val="5"/>
        <color rgb="00FFFFFF"/>
        <color rgb="002E599D"/>
      </colorScale>
    </cfRule>
  </conditionalFormatting>
  <conditionalFormatting sqref="E21:T21">
    <cfRule type="colorScale" priority="9">
      <colorScale>
        <cfvo type="num" val="0"/>
        <cfvo type="num" val="5"/>
        <color rgb="00FFFFFF"/>
        <color rgb="004E8A5B"/>
      </colorScale>
    </cfRule>
  </conditionalFormatting>
  <dataValidations count="6">
    <dataValidation sqref="E14:T14" showDropDown="0" showInputMessage="0" showErrorMessage="0" allowBlank="1" promptTitle="A1 — Home Care Home Base" prompt="Pick one line. Ambiguous? Take the lower one and say so in Notes." type="list">
      <formula1>=Lists!$B$2:$B$7</formula1>
    </dataValidation>
    <dataValidation sqref="E19:T19 E20:T20 E21:T21" showDropDown="0" showInputMessage="0" showErrorMessage="0" allowBlank="1" promptTitle="Scope, 0–5" prompt="How much of this arena they cover. Most point solutions land between 1 and 3 — that spread is the useful part." type="list">
      <formula1>=Lists!$E$2:$E$7</formula1>
    </dataValidation>
    <dataValidation sqref="E24:T24" showDropDown="0" showInputMessage="0" showErrorMessage="0" allowBlank="1" promptTitle="Sophistication, 0–4" prompt="1 shows it · 2 checks it · 3 recommends it · 4 runs it. Score what the product does, not how much they wrote about it." type="list">
      <formula1>=Lists!$G$2:$G$6</formula1>
    </dataValidation>
    <dataValidation sqref="E28:T28" showDropDown="0" showInputMessage="0" showErrorMessage="0" allowBlank="1" promptTitle="Clinician fit, 0–4" prompt="How much say does the clinician have over their own schedule? This runs opposite to Sophistication on purpose." type="list">
      <formula1>=Lists!$I$2:$I$6</formula1>
    </dataValidation>
    <dataValidation sqref="E31:T31" showDropDown="0" showInputMessage="0" showErrorMessage="0" allowBlank="1" promptTitle="Partnership, 0–4" prompt="Specific terms means design-partner pricing, co-development, roadmap governance or a revenue share. A discount is a discount." type="list">
      <formula1>=Lists!$K$2:$K$6</formula1>
    </dataValidation>
    <dataValidation sqref="E15:T15 E16:T16 E25:T25" showDropDown="0" showInputMessage="0" showErrorMessage="0" allowBlank="1" promptTitle="Flag" prompt="A stop-check is resolved before advancing, not traded against points." type="list">
      <formula1>"OK,Watch,STOP-CHECK"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K7"/>
  <sheetViews>
    <sheetView workbookViewId="0">
      <selection activeCell="A1" sqref="A1"/>
    </sheetView>
  </sheetViews>
  <sheetFormatPr baseColWidth="8" defaultRowHeight="15"/>
  <cols>
    <col width="48" customWidth="1" min="2" max="2"/>
    <col width="48" customWidth="1" min="5" max="5"/>
    <col width="48" customWidth="1" min="7" max="7"/>
    <col width="48" customWidth="1" min="9" max="9"/>
    <col width="48" customWidth="1" min="11" max="11"/>
  </cols>
  <sheetData>
    <row r="1">
      <c r="B1" s="1" t="inlineStr">
        <is>
          <t>A1 rung</t>
        </is>
      </c>
      <c r="C1" s="1" t="inlineStr">
        <is>
          <t>Points</t>
        </is>
      </c>
      <c r="E1" s="1" t="inlineStr">
        <is>
          <t>Scope</t>
        </is>
      </c>
      <c r="G1" s="1" t="inlineStr">
        <is>
          <t>Sophistication</t>
        </is>
      </c>
      <c r="I1" s="1" t="inlineStr">
        <is>
          <t>Clinician</t>
        </is>
      </c>
      <c r="K1" s="1" t="inlineStr">
        <is>
          <t>Partnership</t>
        </is>
      </c>
    </row>
    <row r="2">
      <c r="B2" t="inlineStr">
        <is>
          <t>Live — reads and writes, several customers</t>
        </is>
      </c>
      <c r="C2" t="n">
        <v>25</v>
      </c>
      <c r="E2" t="inlineStr">
        <is>
          <t>0 — Nothing here</t>
        </is>
      </c>
      <c r="G2" t="inlineStr">
        <is>
          <t>0 — Not addressed</t>
        </is>
      </c>
      <c r="I2" t="inlineStr">
        <is>
          <t>0 — Not answered</t>
        </is>
      </c>
      <c r="K2" t="inlineStr">
        <is>
          <t>0 — Didn't answer</t>
        </is>
      </c>
    </row>
    <row r="3">
      <c r="B3" t="inlineStr">
        <is>
          <t>Live — one customer, or one-way only</t>
        </is>
      </c>
      <c r="C3" t="n">
        <v>20</v>
      </c>
      <c r="E3" t="inlineStr">
        <is>
          <t>1 — Touches one corner</t>
        </is>
      </c>
      <c r="G3" t="inlineStr">
        <is>
          <t>1 — Shows it</t>
        </is>
      </c>
      <c r="I3" t="inlineStr">
        <is>
          <t>1 — The schedule is set for them, with no way to change it</t>
        </is>
      </c>
      <c r="K3" t="inlineStr">
        <is>
          <t>1 — Standard commercial relationship only</t>
        </is>
      </c>
    </row>
    <row r="4">
      <c r="B4" t="inlineStr">
        <is>
          <t>Live — via a partner, flat file or screen scraping</t>
        </is>
      </c>
      <c r="C4" t="n">
        <v>12</v>
      </c>
      <c r="E4" t="inlineStr">
        <is>
          <t>2 — Covers a few pieces</t>
        </is>
      </c>
      <c r="G4" t="inlineStr">
        <is>
          <t>2 — Checks it</t>
        </is>
      </c>
      <c r="I4" t="inlineStr">
        <is>
          <t>2 — They can raise it; someone else makes the change</t>
        </is>
      </c>
      <c r="K4" t="inlineStr">
        <is>
          <t>2 — Willing, but no structure offered</t>
        </is>
      </c>
    </row>
    <row r="5">
      <c r="B5" t="inlineStr">
        <is>
          <t>In development — with a date</t>
        </is>
      </c>
      <c r="C5" t="n">
        <v>6</v>
      </c>
      <c r="E5" t="inlineStr">
        <is>
          <t>3 — Covers about half</t>
        </is>
      </c>
      <c r="G5" t="inlineStr">
        <is>
          <t>3 — Recommends it</t>
        </is>
      </c>
      <c r="I5" t="inlineStr">
        <is>
          <t>3 — They can decline or change an assignment themselves</t>
        </is>
      </c>
      <c r="K5" t="inlineStr">
        <is>
          <t>3 — Specific terms, or a real change-management story</t>
        </is>
      </c>
    </row>
    <row r="6">
      <c r="B6" t="inlineStr">
        <is>
          <t>Roadmap — no date</t>
        </is>
      </c>
      <c r="C6" t="n">
        <v>2</v>
      </c>
      <c r="E6" t="inlineStr">
        <is>
          <t>4 — Covers most of it</t>
        </is>
      </c>
      <c r="G6" t="inlineStr">
        <is>
          <t>4 — Runs it</t>
        </is>
      </c>
      <c r="I6" t="inlineStr">
        <is>
          <t>4 — They can shape their own schedule, and the product learns from it</t>
        </is>
      </c>
      <c r="K6" t="inlineStr">
        <is>
          <t>4 — Specific terms and a real change-management story</t>
        </is>
      </c>
    </row>
    <row r="7">
      <c r="B7" t="inlineStr">
        <is>
          <t>None, and no path to one</t>
        </is>
      </c>
      <c r="C7" t="n">
        <v>0</v>
      </c>
      <c r="E7" t="inlineStr">
        <is>
          <t>5 — Covers essentially all of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2026-09-03T17:01:39Z</dcterms:created>
  <dcterms:modified xsi:type="dcterms:W3CDTF">2026-09-03T17:01:39Z</dcterms:modified>
</cp:coreProperties>
</file>