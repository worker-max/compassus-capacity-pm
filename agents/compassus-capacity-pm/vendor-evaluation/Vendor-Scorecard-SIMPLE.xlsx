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Scorecard" sheetId="2" state="visible" r:id="rId2"/>
    <sheet name="Lists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2">
    <font>
      <name val="Calibri"/>
      <family val="2"/>
      <color theme="1"/>
      <sz val="11"/>
      <scheme val="minor"/>
    </font>
    <font>
      <name val="Aptos Narrow"/>
      <b val="1"/>
      <color rgb="005A6560"/>
      <sz val="9"/>
    </font>
    <font>
      <name val="Aptos Narrow"/>
      <b val="1"/>
      <color rgb="001B211E"/>
      <sz val="20"/>
    </font>
    <font>
      <name val="Aptos Narrow"/>
      <i val="1"/>
      <color rgb="005A6560"/>
      <sz val="10"/>
    </font>
    <font>
      <name val="Aptos Narrow"/>
      <b val="1"/>
      <color rgb="00FFFFFF"/>
      <sz val="9"/>
    </font>
    <font>
      <name val="Aptos Narrow"/>
      <color rgb="001B211E"/>
      <sz val="10"/>
    </font>
    <font>
      <name val="Aptos Narrow"/>
      <b val="1"/>
      <color rgb="00C6A01F"/>
      <sz val="11"/>
    </font>
    <font>
      <name val="Aptos Narrow"/>
      <b val="1"/>
      <color rgb="001B211E"/>
      <sz val="11"/>
    </font>
    <font>
      <name val="Aptos Narrow"/>
      <b val="1"/>
      <color rgb="001B211E"/>
      <sz val="10"/>
    </font>
    <font>
      <name val="Aptos Narrow"/>
      <i val="1"/>
      <color rgb="005A6560"/>
      <sz val="9"/>
    </font>
    <font>
      <name val="Aptos Narrow"/>
      <b val="1"/>
      <color rgb="001B211E"/>
      <sz val="18"/>
    </font>
    <font>
      <name val="Aptos Narrow"/>
      <b val="1"/>
      <color rgb="001B211E"/>
      <sz val="12"/>
    </font>
    <font>
      <name val="Aptos Narrow"/>
      <color rgb="005A6560"/>
      <sz val="9"/>
    </font>
    <font>
      <name val="Aptos Narrow"/>
      <b val="1"/>
      <color rgb="00792E2E"/>
      <sz val="10"/>
    </font>
    <font>
      <name val="Aptos Narrow"/>
      <b val="1"/>
      <color rgb="00C6A01F"/>
      <sz val="10"/>
    </font>
    <font>
      <name val="Aptos Narrow"/>
      <color rgb="001B211E"/>
      <sz val="9"/>
    </font>
    <font>
      <name val="Aptos Narrow"/>
      <b val="1"/>
      <color rgb="001F6F78"/>
      <sz val="10"/>
    </font>
    <font>
      <name val="Aptos Narrow"/>
      <b val="1"/>
      <color rgb="002E599D"/>
      <sz val="10"/>
    </font>
    <font>
      <name val="Aptos Narrow"/>
      <b val="1"/>
      <color rgb="004E8A5B"/>
      <sz val="10"/>
    </font>
    <font>
      <name val="Aptos Narrow"/>
      <b val="1"/>
      <color rgb="00795CA7"/>
      <sz val="10"/>
    </font>
    <font>
      <name val="Aptos Narrow"/>
      <b val="1"/>
      <color rgb="001B211E"/>
      <sz val="14"/>
    </font>
    <font>
      <name val="Aptos Narrow"/>
      <b val="1"/>
      <color rgb="00792E2E"/>
      <sz val="9"/>
    </font>
  </fonts>
  <fills count="9">
    <fill>
      <patternFill/>
    </fill>
    <fill>
      <patternFill patternType="gray125"/>
    </fill>
    <fill>
      <patternFill patternType="solid">
        <fgColor rgb="001B211E"/>
      </patternFill>
    </fill>
    <fill>
      <patternFill patternType="solid">
        <fgColor rgb="00E9E9E5"/>
      </patternFill>
    </fill>
    <fill>
      <patternFill patternType="solid">
        <fgColor rgb="00FBFBF8"/>
      </patternFill>
    </fill>
    <fill>
      <patternFill patternType="solid">
        <fgColor rgb="00FFFDF4"/>
      </patternFill>
    </fill>
    <fill>
      <patternFill patternType="solid">
        <fgColor rgb="00FDF7F7"/>
      </patternFill>
    </fill>
    <fill>
      <patternFill patternType="solid">
        <fgColor rgb="00792E2E"/>
      </patternFill>
    </fill>
    <fill>
      <patternFill patternType="solid">
        <fgColor rgb="00FFFFFF"/>
      </patternFill>
    </fill>
  </fills>
  <borders count="4">
    <border>
      <left/>
      <right/>
      <top/>
      <bottom/>
      <diagonal/>
    </border>
    <border>
      <bottom style="medium">
        <color rgb="001B211E"/>
      </bottom>
    </border>
    <border>
      <left style="thin">
        <color rgb="00C9CCC5"/>
      </left>
      <right style="thin">
        <color rgb="00C9CCC5"/>
      </right>
      <top style="thin">
        <color rgb="00C9CCC5"/>
      </top>
      <bottom style="thin">
        <color rgb="00C9CCC5"/>
      </bottom>
    </border>
    <border>
      <left style="thin">
        <color rgb="00C9CCC5"/>
      </left>
      <right style="thin">
        <color rgb="00C9CCC5"/>
      </right>
      <top style="medium">
        <color rgb="001B211E"/>
      </top>
      <bottom style="medium">
        <color rgb="001B211E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vertical="top" wrapText="1"/>
    </xf>
    <xf numFmtId="0" fontId="1" fillId="3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top" wrapText="1"/>
    </xf>
    <xf numFmtId="0" fontId="9" fillId="0" borderId="0" pivotButton="0" quotePrefix="0" xfId="0"/>
    <xf numFmtId="0" fontId="10" fillId="0" borderId="0" pivotButton="0" quotePrefix="0" xfId="0"/>
    <xf numFmtId="0" fontId="9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left" vertical="bottom"/>
    </xf>
    <xf numFmtId="0" fontId="8" fillId="4" borderId="1" applyAlignment="1" pivotButton="0" quotePrefix="0" xfId="0">
      <alignment horizontal="center" vertical="bottom" wrapText="1"/>
    </xf>
    <xf numFmtId="0" fontId="11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center" wrapText="1"/>
    </xf>
    <xf numFmtId="164" fontId="20" fillId="8" borderId="3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21" fillId="3" borderId="2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left" vertical="center" wrapText="1"/>
    </xf>
    <xf numFmtId="1" fontId="13" fillId="3" borderId="2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 wrapText="1"/>
    </xf>
    <xf numFmtId="0" fontId="15" fillId="5" borderId="2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 vertical="center" wrapText="1"/>
    </xf>
    <xf numFmtId="0" fontId="15" fillId="6" borderId="2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center" vertical="center" wrapText="1"/>
    </xf>
    <xf numFmtId="0" fontId="15" fillId="4" borderId="2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center" vertical="center" wrapText="1"/>
    </xf>
    <xf numFmtId="0" fontId="18" fillId="0" borderId="0" applyAlignment="1" pivotButton="0" quotePrefix="0" xfId="0">
      <alignment horizontal="center" vertical="center" wrapText="1"/>
    </xf>
    <xf numFmtId="0" fontId="19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left" vertical="center" indent="1"/>
    </xf>
    <xf numFmtId="0" fontId="5" fillId="0" borderId="0" pivotButton="0" quotePrefix="0" xfId="0"/>
    <xf numFmtId="0" fontId="13" fillId="0" borderId="0" applyAlignment="1" pivotButton="0" quotePrefix="0" xfId="0">
      <alignment horizontal="left" vertical="top" wrapText="1"/>
    </xf>
    <xf numFmtId="0" fontId="9" fillId="0" borderId="0" applyAlignment="1" pivotButton="0" quotePrefix="0" xfId="0">
      <alignment horizontal="left" vertical="top" wrapText="1"/>
    </xf>
    <xf numFmtId="0" fontId="15" fillId="4" borderId="2" applyAlignment="1" pivotButton="0" quotePrefix="0" xfId="0">
      <alignment horizontal="left" vertical="top" wrapText="1"/>
    </xf>
  </cellXfs>
  <cellStyles count="1">
    <cellStyle name="Normal" xfId="0" builtinId="0" hidden="0"/>
  </cellStyles>
  <dxfs count="2">
    <dxf>
      <font>
        <b val="1"/>
        <color rgb="00FFFFFF"/>
      </font>
      <fill>
        <patternFill patternType="solid">
          <fgColor rgb="00792E2E"/>
        </patternFill>
      </fill>
    </dxf>
    <dxf>
      <font>
        <b val="1"/>
        <color rgb="007A2020"/>
      </font>
      <fill>
        <patternFill patternType="solid">
          <fgColor rgb="00F5D9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6A01F"/>
    <outlinePr summaryBelow="1" summaryRight="1"/>
    <pageSetUpPr/>
  </sheetPr>
  <dimension ref="B2:D7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5" customWidth="1" min="2" max="2"/>
    <col width="34" customWidth="1" min="3" max="3"/>
    <col width="100" customWidth="1" min="4" max="4"/>
  </cols>
  <sheetData>
    <row r="2">
      <c r="B2" s="1" t="inlineStr">
        <is>
          <t>COMPASSUS  ·  HOME HEALTH</t>
        </is>
      </c>
    </row>
    <row r="3" ht="32" customHeight="1">
      <c r="B3" s="2" t="inlineStr">
        <is>
          <t>Vendor Scorecard — Fast</t>
        </is>
      </c>
    </row>
    <row r="4">
      <c r="B4" s="3" t="inlineStr">
        <is>
          <t>The questionnaire is the rubric. Read the return top to bottom and fill the sheet top to bottom. Seven marks a vendor, about two minutes.</t>
        </is>
      </c>
    </row>
    <row r="6" ht="10" customHeight="1"/>
    <row r="7" ht="22" customHeight="1">
      <c r="B7" s="4" t="inlineStr">
        <is>
          <t>HOW IT WORKS</t>
        </is>
      </c>
    </row>
    <row r="8" ht="28" customHeight="1">
      <c r="B8" s="5" t="inlineStr">
        <is>
          <t>Every one of the 17 questions on the questionnaire has a row on the Scorecard tab, in the order it appears on the form. Seven rows take a mark. The rest raise a flag or a note — and they say so, so nothing looks forgotten. What isn't scored becomes what we go and ask at the demo.</t>
        </is>
      </c>
    </row>
    <row r="9" ht="28" customHeight="1">
      <c r="B9" s="5" t="inlineStr">
        <is>
          <t>Scored on the same 100 points and the same bands as the full scorecard, so the two are directly comparable. This one is coarser, not different: it gives one mark where the full sheet gives several, so the two can disagree on a close call. That is the trade for speed.</t>
        </is>
      </c>
    </row>
    <row r="10" ht="10" customHeight="1"/>
    <row r="11" ht="22" customHeight="1">
      <c r="B11" s="4" t="inlineStr">
        <is>
          <t>THE SEVEN MARKS</t>
        </is>
      </c>
    </row>
    <row r="12">
      <c r="B12" s="6" t="inlineStr">
        <is>
          <t>Question</t>
        </is>
      </c>
      <c r="C12" s="6" t="inlineStr">
        <is>
          <t>Mark</t>
        </is>
      </c>
      <c r="D12" s="6" t="inlineStr">
        <is>
          <t>Points</t>
        </is>
      </c>
    </row>
    <row r="13" ht="21" customHeight="1">
      <c r="B13" s="7" t="inlineStr">
        <is>
          <t>A1</t>
        </is>
      </c>
      <c r="C13" s="5" t="inlineStr">
        <is>
          <t>Home Care Home Base integration</t>
        </is>
      </c>
      <c r="D13" s="8" t="inlineStr">
        <is>
          <t>25</t>
        </is>
      </c>
    </row>
    <row r="14" ht="21" customHeight="1">
      <c r="B14" s="7" t="inlineStr">
        <is>
          <t>Section B</t>
        </is>
      </c>
      <c r="C14" s="5" t="inlineStr">
        <is>
          <t>Capacity — how much of it they cover</t>
        </is>
      </c>
      <c r="D14" s="8" t="inlineStr">
        <is>
          <t>10</t>
        </is>
      </c>
    </row>
    <row r="15" ht="21" customHeight="1">
      <c r="B15" s="7" t="inlineStr">
        <is>
          <t>Section B</t>
        </is>
      </c>
      <c r="C15" s="5" t="inlineStr">
        <is>
          <t>Scheduling — how much of it they cover</t>
        </is>
      </c>
      <c r="D15" s="8" t="inlineStr">
        <is>
          <t>10</t>
        </is>
      </c>
    </row>
    <row r="16" ht="21" customHeight="1">
      <c r="B16" s="7" t="inlineStr">
        <is>
          <t>Section B</t>
        </is>
      </c>
      <c r="C16" s="5" t="inlineStr">
        <is>
          <t>Engagement — how much of it they cover</t>
        </is>
      </c>
      <c r="D16" s="8" t="inlineStr">
        <is>
          <t>10</t>
        </is>
      </c>
    </row>
    <row r="17" ht="21" customHeight="1">
      <c r="B17" s="7" t="inlineStr">
        <is>
          <t>C1–C5, C7</t>
        </is>
      </c>
      <c r="C17" s="5" t="inlineStr">
        <is>
          <t>Sophistication — how much of the work the product does</t>
        </is>
      </c>
      <c r="D17" s="8" t="inlineStr">
        <is>
          <t>20</t>
        </is>
      </c>
    </row>
    <row r="18" ht="21" customHeight="1">
      <c r="B18" s="7" t="inlineStr">
        <is>
          <t>D1–D3</t>
        </is>
      </c>
      <c r="C18" s="5" t="inlineStr">
        <is>
          <t>Clinician fit</t>
        </is>
      </c>
      <c r="D18" s="8" t="inlineStr">
        <is>
          <t>10</t>
        </is>
      </c>
    </row>
    <row r="19" ht="21" customHeight="1">
      <c r="B19" s="7" t="inlineStr">
        <is>
          <t>E1–E4</t>
        </is>
      </c>
      <c r="C19" s="5" t="inlineStr">
        <is>
          <t>Partnership</t>
        </is>
      </c>
      <c r="D19" s="8" t="inlineStr">
        <is>
          <t>15</t>
        </is>
      </c>
    </row>
    <row r="20" ht="21" customHeight="1">
      <c r="B20" s="7" t="inlineStr"/>
      <c r="C20" s="9" t="inlineStr">
        <is>
          <t>TOTAL</t>
        </is>
      </c>
      <c r="D20" s="8" t="inlineStr">
        <is>
          <t>100</t>
        </is>
      </c>
    </row>
    <row r="21" ht="10" customHeight="1"/>
    <row r="22" ht="22" customHeight="1">
      <c r="B22" s="4" t="inlineStr">
        <is>
          <t>A1  ·  HOME CARE HOME BASE   —   pick one line</t>
        </is>
      </c>
    </row>
    <row r="23" ht="21" customHeight="1">
      <c r="B23" s="7" t="inlineStr">
        <is>
          <t>25</t>
        </is>
      </c>
      <c r="C23" s="5" t="inlineStr">
        <is>
          <t>Live — reads and writes, several customers</t>
        </is>
      </c>
      <c r="D23" s="8" t="inlineStr"/>
    </row>
    <row r="24" ht="21" customHeight="1">
      <c r="B24" s="7" t="inlineStr">
        <is>
          <t>20</t>
        </is>
      </c>
      <c r="C24" s="5" t="inlineStr">
        <is>
          <t>Live — one customer, or one-way only</t>
        </is>
      </c>
      <c r="D24" s="8" t="inlineStr"/>
    </row>
    <row r="25" ht="21" customHeight="1">
      <c r="B25" s="7" t="inlineStr">
        <is>
          <t>12</t>
        </is>
      </c>
      <c r="C25" s="5" t="inlineStr">
        <is>
          <t>Live — via a partner, flat file or screen scraping</t>
        </is>
      </c>
      <c r="D25" s="8" t="inlineStr"/>
    </row>
    <row r="26" ht="21" customHeight="1">
      <c r="B26" s="7" t="inlineStr">
        <is>
          <t>6</t>
        </is>
      </c>
      <c r="C26" s="5" t="inlineStr">
        <is>
          <t>In development — with a date</t>
        </is>
      </c>
      <c r="D26" s="8" t="inlineStr"/>
    </row>
    <row r="27" ht="21" customHeight="1">
      <c r="B27" s="7" t="inlineStr">
        <is>
          <t>2</t>
        </is>
      </c>
      <c r="C27" s="5" t="inlineStr">
        <is>
          <t>Roadmap — no date</t>
        </is>
      </c>
      <c r="D27" s="8" t="inlineStr"/>
    </row>
    <row r="28" ht="21" customHeight="1">
      <c r="B28" s="7" t="inlineStr">
        <is>
          <t>0</t>
        </is>
      </c>
      <c r="C28" s="5" t="inlineStr">
        <is>
          <t>None, and no path to one</t>
        </is>
      </c>
      <c r="D28" s="8" t="inlineStr"/>
    </row>
    <row r="29" ht="10" customHeight="1"/>
    <row r="30" ht="22" customHeight="1">
      <c r="B30" s="4" t="inlineStr">
        <is>
          <t>SECTION B  ·  SCOPE   —   one mark per arena, 0 to 3</t>
        </is>
      </c>
    </row>
    <row r="31" ht="28" customHeight="1">
      <c r="B31" s="5" t="inlineStr">
        <is>
          <t>Read the eleven areas each vendor rated themselves on, then give one mark per arena. Capacity has 3 areas, Scheduling 4, Engagement 4 — so counting their yeses gets you most of the way there. Where Section C contradicts Section B, believe Section C.</t>
        </is>
      </c>
    </row>
    <row r="32" ht="21" customHeight="1">
      <c r="B32" s="7" t="inlineStr">
        <is>
          <t>3</t>
        </is>
      </c>
      <c r="C32" s="5" t="inlineStr">
        <is>
          <t>Covers essentially all of it</t>
        </is>
      </c>
      <c r="D32" s="8" t="inlineStr"/>
    </row>
    <row r="33" ht="21" customHeight="1">
      <c r="B33" s="7" t="inlineStr">
        <is>
          <t>2</t>
        </is>
      </c>
      <c r="C33" s="5" t="inlineStr">
        <is>
          <t>Covers most of it</t>
        </is>
      </c>
      <c r="D33" s="8" t="inlineStr"/>
    </row>
    <row r="34" ht="21" customHeight="1">
      <c r="B34" s="7" t="inlineStr">
        <is>
          <t>1</t>
        </is>
      </c>
      <c r="C34" s="5" t="inlineStr">
        <is>
          <t>Covers some of it</t>
        </is>
      </c>
      <c r="D34" s="8" t="inlineStr"/>
    </row>
    <row r="35" ht="21" customHeight="1">
      <c r="B35" s="7" t="inlineStr">
        <is>
          <t>0</t>
        </is>
      </c>
      <c r="C35" s="5" t="inlineStr">
        <is>
          <t>Little or none</t>
        </is>
      </c>
      <c r="D35" s="8" t="inlineStr"/>
    </row>
    <row r="36" ht="10" customHeight="1"/>
    <row r="37" ht="22" customHeight="1">
      <c r="B37" s="4" t="inlineStr">
        <is>
          <t>SECTION C  ·  SOPHISTICATION   —   one mark, 0 to 4</t>
        </is>
      </c>
    </row>
    <row r="38" ht="41" customHeight="1">
      <c r="B38" s="5" t="inlineStr">
        <is>
          <t>How much of the work the product does. This is the Read / Assist / Control language already in our workbook. Score what the product does, not how much the vendor wrote about it — a short answer describing an optimiser still scores 4. How it does it is a demo question, not a reason to mark it down.</t>
        </is>
      </c>
    </row>
    <row r="39" ht="21" customHeight="1">
      <c r="B39" s="7" t="inlineStr">
        <is>
          <t>4</t>
        </is>
      </c>
      <c r="C39" s="5" t="inlineStr">
        <is>
          <t>Runs it — decides across the whole picture, and re-decides when things change</t>
        </is>
      </c>
      <c r="D39" s="8" t="inlineStr"/>
    </row>
    <row r="40" ht="21" customHeight="1">
      <c r="B40" s="7" t="inlineStr">
        <is>
          <t>3</t>
        </is>
      </c>
      <c r="C40" s="5" t="inlineStr">
        <is>
          <t>Recommends it — works out the answer and proposes it; a person confirms</t>
        </is>
      </c>
      <c r="D40" s="8" t="inlineStr"/>
    </row>
    <row r="41" ht="21" customHeight="1">
      <c r="B41" s="7" t="inlineStr">
        <is>
          <t>2</t>
        </is>
      </c>
      <c r="C41" s="5" t="inlineStr">
        <is>
          <t>Checks it — applies rules and flags problems; a person still works it</t>
        </is>
      </c>
      <c r="D41" s="8" t="inlineStr"/>
    </row>
    <row r="42" ht="21" customHeight="1">
      <c r="B42" s="7" t="inlineStr">
        <is>
          <t>1</t>
        </is>
      </c>
      <c r="C42" s="5" t="inlineStr">
        <is>
          <t>Shows it — surfaces the information; a person does all the work</t>
        </is>
      </c>
      <c r="D42" s="8" t="inlineStr"/>
    </row>
    <row r="43" ht="21" customHeight="1">
      <c r="B43" s="7" t="inlineStr">
        <is>
          <t>0</t>
        </is>
      </c>
      <c r="C43" s="5" t="inlineStr">
        <is>
          <t>Not addressed</t>
        </is>
      </c>
      <c r="D43" s="8" t="inlineStr"/>
    </row>
    <row r="44" ht="15" customHeight="1">
      <c r="B44" s="5" t="inlineStr">
        <is>
          <t>A 4 is not automatically what we want. Where we said Assist, a product that decides on its own is a risk worth a note.</t>
        </is>
      </c>
    </row>
    <row r="45" ht="10" customHeight="1"/>
    <row r="46" ht="22" customHeight="1">
      <c r="B46" s="4" t="inlineStr">
        <is>
          <t>SECTION D  ·  CLINICIAN FIT   —   one mark, 0 to 4</t>
        </is>
      </c>
    </row>
    <row r="47" ht="21" customHeight="1">
      <c r="B47" s="7" t="inlineStr">
        <is>
          <t>4</t>
        </is>
      </c>
      <c r="C47" s="5" t="inlineStr">
        <is>
          <t>Clinician keeps real control, and they showed adoption data</t>
        </is>
      </c>
      <c r="D47" s="8" t="inlineStr"/>
    </row>
    <row r="48" ht="21" customHeight="1">
      <c r="B48" s="7" t="inlineStr">
        <is>
          <t>3</t>
        </is>
      </c>
      <c r="C48" s="5" t="inlineStr">
        <is>
          <t>Clinician keeps real control; adoption claimed but not shown</t>
        </is>
      </c>
      <c r="D48" s="8" t="inlineStr"/>
    </row>
    <row r="49" ht="21" customHeight="1">
      <c r="B49" s="7" t="inlineStr">
        <is>
          <t>2</t>
        </is>
      </c>
      <c r="C49" s="5" t="inlineStr">
        <is>
          <t>System decides, clinician can override</t>
        </is>
      </c>
      <c r="D49" s="8" t="inlineStr"/>
    </row>
    <row r="50" ht="21" customHeight="1">
      <c r="B50" s="7" t="inlineStr">
        <is>
          <t>1</t>
        </is>
      </c>
      <c r="C50" s="5" t="inlineStr">
        <is>
          <t>System decides, clinician cannot override</t>
        </is>
      </c>
      <c r="D50" s="8" t="inlineStr"/>
    </row>
    <row r="51" ht="21" customHeight="1">
      <c r="B51" s="7" t="inlineStr">
        <is>
          <t>0</t>
        </is>
      </c>
      <c r="C51" s="5" t="inlineStr">
        <is>
          <t>Didn't answer</t>
        </is>
      </c>
      <c r="D51" s="8" t="inlineStr"/>
    </row>
    <row r="52" ht="10" customHeight="1"/>
    <row r="53" ht="22" customHeight="1">
      <c r="B53" s="4" t="inlineStr">
        <is>
          <t>SECTION E  ·  PARTNERSHIP   —   one mark, 0 to 4</t>
        </is>
      </c>
    </row>
    <row r="54" ht="21" customHeight="1">
      <c r="B54" s="7" t="inlineStr">
        <is>
          <t>4</t>
        </is>
      </c>
      <c r="C54" s="5" t="inlineStr">
        <is>
          <t>Specific terms and a real change-management story</t>
        </is>
      </c>
      <c r="D54" s="8" t="inlineStr"/>
    </row>
    <row r="55" ht="21" customHeight="1">
      <c r="B55" s="7" t="inlineStr">
        <is>
          <t>3</t>
        </is>
      </c>
      <c r="C55" s="5" t="inlineStr">
        <is>
          <t>One of the two</t>
        </is>
      </c>
      <c r="D55" s="8" t="inlineStr"/>
    </row>
    <row r="56" ht="21" customHeight="1">
      <c r="B56" s="7" t="inlineStr">
        <is>
          <t>2</t>
        </is>
      </c>
      <c r="C56" s="5" t="inlineStr">
        <is>
          <t>Willing, but no structure offered</t>
        </is>
      </c>
      <c r="D56" s="8" t="inlineStr"/>
    </row>
    <row r="57" ht="21" customHeight="1">
      <c r="B57" s="7" t="inlineStr">
        <is>
          <t>1</t>
        </is>
      </c>
      <c r="C57" s="5" t="inlineStr">
        <is>
          <t>Standard commercial relationship only</t>
        </is>
      </c>
      <c r="D57" s="8" t="inlineStr"/>
    </row>
    <row r="58" ht="21" customHeight="1">
      <c r="B58" s="7" t="inlineStr">
        <is>
          <t>0</t>
        </is>
      </c>
      <c r="C58" s="5" t="inlineStr">
        <is>
          <t>Didn't answer</t>
        </is>
      </c>
      <c r="D58" s="8" t="inlineStr"/>
    </row>
    <row r="59" ht="15" customHeight="1">
      <c r="B59" s="5" t="inlineStr">
        <is>
          <t>Specific terms means design-partner pricing, co-development, roadmap governance, or a revenue or equity share. A discount is a discount.</t>
        </is>
      </c>
    </row>
    <row r="60" ht="10" customHeight="1"/>
    <row r="61" ht="22" customHeight="1">
      <c r="B61" s="4" t="inlineStr">
        <is>
          <t>THE THREE QUESTIONS THAT RAISE A FLAG INSTEAD</t>
        </is>
      </c>
    </row>
    <row r="62" ht="28" customHeight="1">
      <c r="B62" s="5" t="inlineStr">
        <is>
          <t>A vendor with no continuity commitment should be stopped and asked, not quietly docked a few points. Same for a vendor with one customer, or impact numbers with no baseline. Mark these OK, Watch or STOP-CHECK.</t>
        </is>
      </c>
    </row>
    <row r="63" ht="21" customHeight="1">
      <c r="B63" s="7" t="inlineStr">
        <is>
          <t>A2</t>
        </is>
      </c>
      <c r="C63" s="5" t="inlineStr">
        <is>
          <t>Customers, scale and references — STOP-CHECK if one customer, or no references offered</t>
        </is>
      </c>
      <c r="D63" s="8" t="inlineStr"/>
    </row>
    <row r="64" ht="21" customHeight="1">
      <c r="B64" s="7" t="inlineStr">
        <is>
          <t>A3</t>
        </is>
      </c>
      <c r="C64" s="5" t="inlineStr">
        <is>
          <t>Measured impact — Watch if claimed with no baseline or period</t>
        </is>
      </c>
      <c r="D64" s="8" t="inlineStr"/>
    </row>
    <row r="65" ht="21" customHeight="1">
      <c r="B65" s="7" t="inlineStr">
        <is>
          <t>C6</t>
        </is>
      </c>
      <c r="C65" s="5" t="inlineStr">
        <is>
          <t>When your product is down — STOP-CHECK if no uptime figure or contractual commitment</t>
        </is>
      </c>
      <c r="D65" s="8" t="inlineStr"/>
    </row>
    <row r="66" ht="10" customHeight="1"/>
    <row r="67" ht="22" customHeight="1">
      <c r="B67" s="4" t="inlineStr">
        <is>
          <t>BANDS   —   the same as the full scorecard</t>
        </is>
      </c>
    </row>
    <row r="68" ht="21" customHeight="1">
      <c r="B68" s="7" t="inlineStr">
        <is>
          <t>80–100</t>
        </is>
      </c>
      <c r="C68" s="5" t="inlineStr">
        <is>
          <t>Advance — demo, references, deeper diligence</t>
        </is>
      </c>
      <c r="D68" s="8" t="inlineStr"/>
    </row>
    <row r="69" ht="21" customHeight="1">
      <c r="B69" s="7" t="inlineStr">
        <is>
          <t>65–79</t>
        </is>
      </c>
      <c r="C69" s="5" t="inlineStr">
        <is>
          <t>Consider — only if something specific justifies it</t>
        </is>
      </c>
      <c r="D69" s="8" t="inlineStr"/>
    </row>
    <row r="70" ht="21" customHeight="1">
      <c r="B70" s="7" t="inlineStr">
        <is>
          <t>50–64</t>
        </is>
      </c>
      <c r="C70" s="5" t="inlineStr">
        <is>
          <t>Hold — park unless the field thins</t>
        </is>
      </c>
      <c r="D70" s="8" t="inlineStr"/>
    </row>
    <row r="71" ht="21" customHeight="1">
      <c r="B71" s="7" t="inlineStr">
        <is>
          <t>&lt; 50</t>
        </is>
      </c>
      <c r="C71" s="5" t="inlineStr">
        <is>
          <t>Decline — close out with thanks</t>
        </is>
      </c>
      <c r="D71" s="8" t="inlineStr"/>
    </row>
    <row r="72" ht="34" customHeight="1">
      <c r="B72" s="7" t="inlineStr">
        <is>
          <t>Conditional</t>
        </is>
      </c>
      <c r="C72" s="5" t="inlineStr">
        <is>
          <t>Shown whenever A1 scores under 12. Advancing means accepting an integration still to be built, on their timeline, at our risk.</t>
        </is>
      </c>
      <c r="D72" s="8" t="inlineStr"/>
    </row>
    <row r="74">
      <c r="B74" s="10" t="inlineStr">
        <is>
          <t>Fast scorecard v2.0  ·  questionnaire form_version 2026-08-19</t>
        </is>
      </c>
    </row>
  </sheetData>
  <mergeCells count="17">
    <mergeCell ref="B11:D11"/>
    <mergeCell ref="B59:D59"/>
    <mergeCell ref="B37:D37"/>
    <mergeCell ref="B67:D67"/>
    <mergeCell ref="B31:D31"/>
    <mergeCell ref="B46:D46"/>
    <mergeCell ref="B61:D61"/>
    <mergeCell ref="B22:D22"/>
    <mergeCell ref="B8:D8"/>
    <mergeCell ref="B4:D4"/>
    <mergeCell ref="B9:D9"/>
    <mergeCell ref="B30:D30"/>
    <mergeCell ref="B44:D44"/>
    <mergeCell ref="B53:D53"/>
    <mergeCell ref="B62:D62"/>
    <mergeCell ref="B7:D7"/>
    <mergeCell ref="B38:D3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B211E"/>
    <outlinePr summaryBelow="1" summaryRight="1"/>
    <pageSetUpPr/>
  </sheetPr>
  <dimension ref="B2:T36"/>
  <sheetViews>
    <sheetView showGridLines="0" zoomScale="90" workbookViewId="0">
      <pane xSplit="4" ySplit="6" topLeftCell="E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2" customWidth="1" min="2" max="2"/>
    <col width="34" customWidth="1" min="3" max="3"/>
    <col width="44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</cols>
  <sheetData>
    <row r="2">
      <c r="B2" s="1" t="inlineStr">
        <is>
          <t>COMPASSUS  ·  HOME HEALTH</t>
        </is>
      </c>
    </row>
    <row r="3" ht="26" customHeight="1">
      <c r="B3" s="11" t="inlineStr">
        <is>
          <t>Vendor Scorecard — Fast</t>
        </is>
      </c>
    </row>
    <row r="4">
      <c r="B4" s="12" t="inlineStr">
        <is>
          <t>The rows are the questionnaire, in order. Seven take a mark; three raise a flag; the rest are notes. Grey cells are formulas.</t>
        </is>
      </c>
    </row>
    <row r="6" ht="42" customHeight="1">
      <c r="B6" s="13" t="inlineStr">
        <is>
          <t>VENDOR</t>
        </is>
      </c>
      <c r="E6" s="14" t="inlineStr">
        <is>
          <t>Vendor 01</t>
        </is>
      </c>
      <c r="F6" s="14" t="inlineStr">
        <is>
          <t>Vendor 02</t>
        </is>
      </c>
      <c r="G6" s="14" t="inlineStr">
        <is>
          <t>Vendor 03</t>
        </is>
      </c>
      <c r="H6" s="14" t="inlineStr">
        <is>
          <t>Vendor 04</t>
        </is>
      </c>
      <c r="I6" s="14" t="inlineStr">
        <is>
          <t>Vendor 05</t>
        </is>
      </c>
      <c r="J6" s="14" t="inlineStr">
        <is>
          <t>Vendor 06</t>
        </is>
      </c>
      <c r="K6" s="14" t="inlineStr">
        <is>
          <t>Vendor 07</t>
        </is>
      </c>
      <c r="L6" s="14" t="inlineStr">
        <is>
          <t>Vendor 08</t>
        </is>
      </c>
      <c r="M6" s="14" t="inlineStr">
        <is>
          <t>Vendor 09</t>
        </is>
      </c>
      <c r="N6" s="14" t="inlineStr">
        <is>
          <t>Vendor 10</t>
        </is>
      </c>
      <c r="O6" s="14" t="inlineStr">
        <is>
          <t>Vendor 11</t>
        </is>
      </c>
      <c r="P6" s="14" t="inlineStr">
        <is>
          <t>Vendor 12</t>
        </is>
      </c>
      <c r="Q6" s="14" t="inlineStr">
        <is>
          <t>Vendor 13</t>
        </is>
      </c>
      <c r="R6" s="14" t="inlineStr">
        <is>
          <t>Vendor 14</t>
        </is>
      </c>
      <c r="S6" s="14" t="inlineStr">
        <is>
          <t>Vendor 15</t>
        </is>
      </c>
      <c r="T6" s="14" t="inlineStr">
        <is>
          <t>Vendor 16</t>
        </is>
      </c>
    </row>
    <row r="8" ht="21" customHeight="1">
      <c r="B8" s="4" t="inlineStr">
        <is>
          <t>SCORE</t>
        </is>
      </c>
    </row>
    <row r="9" ht="26" customHeight="1">
      <c r="B9" s="15" t="inlineStr">
        <is>
          <t>TOTAL</t>
        </is>
      </c>
      <c r="C9" s="16" t="inlineStr">
        <is>
          <t>of 100</t>
        </is>
      </c>
      <c r="E9" s="17">
        <f>IFERROR(VLOOKUP(E14,Lists!$B$2:$C$7,2,FALSE),0)+IFERROR(VALUE(LEFT(E19,1)),0)/3*10+IFERROR(VALUE(LEFT(E20,1)),0)/3*10+IFERROR(VALUE(LEFT(E21,1)),0)/3*10+IFERROR(VALUE(LEFT(E24,1)),0)/4*20+IFERROR(VALUE(LEFT(E28,1)),0)/4*10+IFERROR(VALUE(LEFT(E31,1)),0)/4*15</f>
        <v/>
      </c>
      <c r="F9" s="17">
        <f>IFERROR(VLOOKUP(F14,Lists!$B$2:$C$7,2,FALSE),0)+IFERROR(VALUE(LEFT(F19,1)),0)/3*10+IFERROR(VALUE(LEFT(F20,1)),0)/3*10+IFERROR(VALUE(LEFT(F21,1)),0)/3*10+IFERROR(VALUE(LEFT(F24,1)),0)/4*20+IFERROR(VALUE(LEFT(F28,1)),0)/4*10+IFERROR(VALUE(LEFT(F31,1)),0)/4*15</f>
        <v/>
      </c>
      <c r="G9" s="17">
        <f>IFERROR(VLOOKUP(G14,Lists!$B$2:$C$7,2,FALSE),0)+IFERROR(VALUE(LEFT(G19,1)),0)/3*10+IFERROR(VALUE(LEFT(G20,1)),0)/3*10+IFERROR(VALUE(LEFT(G21,1)),0)/3*10+IFERROR(VALUE(LEFT(G24,1)),0)/4*20+IFERROR(VALUE(LEFT(G28,1)),0)/4*10+IFERROR(VALUE(LEFT(G31,1)),0)/4*15</f>
        <v/>
      </c>
      <c r="H9" s="17">
        <f>IFERROR(VLOOKUP(H14,Lists!$B$2:$C$7,2,FALSE),0)+IFERROR(VALUE(LEFT(H19,1)),0)/3*10+IFERROR(VALUE(LEFT(H20,1)),0)/3*10+IFERROR(VALUE(LEFT(H21,1)),0)/3*10+IFERROR(VALUE(LEFT(H24,1)),0)/4*20+IFERROR(VALUE(LEFT(H28,1)),0)/4*10+IFERROR(VALUE(LEFT(H31,1)),0)/4*15</f>
        <v/>
      </c>
      <c r="I9" s="17">
        <f>IFERROR(VLOOKUP(I14,Lists!$B$2:$C$7,2,FALSE),0)+IFERROR(VALUE(LEFT(I19,1)),0)/3*10+IFERROR(VALUE(LEFT(I20,1)),0)/3*10+IFERROR(VALUE(LEFT(I21,1)),0)/3*10+IFERROR(VALUE(LEFT(I24,1)),0)/4*20+IFERROR(VALUE(LEFT(I28,1)),0)/4*10+IFERROR(VALUE(LEFT(I31,1)),0)/4*15</f>
        <v/>
      </c>
      <c r="J9" s="17">
        <f>IFERROR(VLOOKUP(J14,Lists!$B$2:$C$7,2,FALSE),0)+IFERROR(VALUE(LEFT(J19,1)),0)/3*10+IFERROR(VALUE(LEFT(J20,1)),0)/3*10+IFERROR(VALUE(LEFT(J21,1)),0)/3*10+IFERROR(VALUE(LEFT(J24,1)),0)/4*20+IFERROR(VALUE(LEFT(J28,1)),0)/4*10+IFERROR(VALUE(LEFT(J31,1)),0)/4*15</f>
        <v/>
      </c>
      <c r="K9" s="17">
        <f>IFERROR(VLOOKUP(K14,Lists!$B$2:$C$7,2,FALSE),0)+IFERROR(VALUE(LEFT(K19,1)),0)/3*10+IFERROR(VALUE(LEFT(K20,1)),0)/3*10+IFERROR(VALUE(LEFT(K21,1)),0)/3*10+IFERROR(VALUE(LEFT(K24,1)),0)/4*20+IFERROR(VALUE(LEFT(K28,1)),0)/4*10+IFERROR(VALUE(LEFT(K31,1)),0)/4*15</f>
        <v/>
      </c>
      <c r="L9" s="17">
        <f>IFERROR(VLOOKUP(L14,Lists!$B$2:$C$7,2,FALSE),0)+IFERROR(VALUE(LEFT(L19,1)),0)/3*10+IFERROR(VALUE(LEFT(L20,1)),0)/3*10+IFERROR(VALUE(LEFT(L21,1)),0)/3*10+IFERROR(VALUE(LEFT(L24,1)),0)/4*20+IFERROR(VALUE(LEFT(L28,1)),0)/4*10+IFERROR(VALUE(LEFT(L31,1)),0)/4*15</f>
        <v/>
      </c>
      <c r="M9" s="17">
        <f>IFERROR(VLOOKUP(M14,Lists!$B$2:$C$7,2,FALSE),0)+IFERROR(VALUE(LEFT(M19,1)),0)/3*10+IFERROR(VALUE(LEFT(M20,1)),0)/3*10+IFERROR(VALUE(LEFT(M21,1)),0)/3*10+IFERROR(VALUE(LEFT(M24,1)),0)/4*20+IFERROR(VALUE(LEFT(M28,1)),0)/4*10+IFERROR(VALUE(LEFT(M31,1)),0)/4*15</f>
        <v/>
      </c>
      <c r="N9" s="17">
        <f>IFERROR(VLOOKUP(N14,Lists!$B$2:$C$7,2,FALSE),0)+IFERROR(VALUE(LEFT(N19,1)),0)/3*10+IFERROR(VALUE(LEFT(N20,1)),0)/3*10+IFERROR(VALUE(LEFT(N21,1)),0)/3*10+IFERROR(VALUE(LEFT(N24,1)),0)/4*20+IFERROR(VALUE(LEFT(N28,1)),0)/4*10+IFERROR(VALUE(LEFT(N31,1)),0)/4*15</f>
        <v/>
      </c>
      <c r="O9" s="17">
        <f>IFERROR(VLOOKUP(O14,Lists!$B$2:$C$7,2,FALSE),0)+IFERROR(VALUE(LEFT(O19,1)),0)/3*10+IFERROR(VALUE(LEFT(O20,1)),0)/3*10+IFERROR(VALUE(LEFT(O21,1)),0)/3*10+IFERROR(VALUE(LEFT(O24,1)),0)/4*20+IFERROR(VALUE(LEFT(O28,1)),0)/4*10+IFERROR(VALUE(LEFT(O31,1)),0)/4*15</f>
        <v/>
      </c>
      <c r="P9" s="17">
        <f>IFERROR(VLOOKUP(P14,Lists!$B$2:$C$7,2,FALSE),0)+IFERROR(VALUE(LEFT(P19,1)),0)/3*10+IFERROR(VALUE(LEFT(P20,1)),0)/3*10+IFERROR(VALUE(LEFT(P21,1)),0)/3*10+IFERROR(VALUE(LEFT(P24,1)),0)/4*20+IFERROR(VALUE(LEFT(P28,1)),0)/4*10+IFERROR(VALUE(LEFT(P31,1)),0)/4*15</f>
        <v/>
      </c>
      <c r="Q9" s="17">
        <f>IFERROR(VLOOKUP(Q14,Lists!$B$2:$C$7,2,FALSE),0)+IFERROR(VALUE(LEFT(Q19,1)),0)/3*10+IFERROR(VALUE(LEFT(Q20,1)),0)/3*10+IFERROR(VALUE(LEFT(Q21,1)),0)/3*10+IFERROR(VALUE(LEFT(Q24,1)),0)/4*20+IFERROR(VALUE(LEFT(Q28,1)),0)/4*10+IFERROR(VALUE(LEFT(Q31,1)),0)/4*15</f>
        <v/>
      </c>
      <c r="R9" s="17">
        <f>IFERROR(VLOOKUP(R14,Lists!$B$2:$C$7,2,FALSE),0)+IFERROR(VALUE(LEFT(R19,1)),0)/3*10+IFERROR(VALUE(LEFT(R20,1)),0)/3*10+IFERROR(VALUE(LEFT(R21,1)),0)/3*10+IFERROR(VALUE(LEFT(R24,1)),0)/4*20+IFERROR(VALUE(LEFT(R28,1)),0)/4*10+IFERROR(VALUE(LEFT(R31,1)),0)/4*15</f>
        <v/>
      </c>
      <c r="S9" s="17">
        <f>IFERROR(VLOOKUP(S14,Lists!$B$2:$C$7,2,FALSE),0)+IFERROR(VALUE(LEFT(S19,1)),0)/3*10+IFERROR(VALUE(LEFT(S20,1)),0)/3*10+IFERROR(VALUE(LEFT(S21,1)),0)/3*10+IFERROR(VALUE(LEFT(S24,1)),0)/4*20+IFERROR(VALUE(LEFT(S28,1)),0)/4*10+IFERROR(VALUE(LEFT(S31,1)),0)/4*15</f>
        <v/>
      </c>
      <c r="T9" s="17">
        <f>IFERROR(VLOOKUP(T14,Lists!$B$2:$C$7,2,FALSE),0)+IFERROR(VALUE(LEFT(T19,1)),0)/3*10+IFERROR(VALUE(LEFT(T20,1)),0)/3*10+IFERROR(VALUE(LEFT(T21,1)),0)/3*10+IFERROR(VALUE(LEFT(T24,1)),0)/4*20+IFERROR(VALUE(LEFT(T28,1)),0)/4*10+IFERROR(VALUE(LEFT(T31,1)),0)/4*15</f>
        <v/>
      </c>
    </row>
    <row r="10">
      <c r="B10" s="18" t="inlineStr">
        <is>
          <t>Band</t>
        </is>
      </c>
      <c r="C10" s="16" t="inlineStr">
        <is>
          <t>80 Advance · 65 Consider · 50 Hold</t>
        </is>
      </c>
      <c r="E10" s="19">
        <f>IF(IFERROR(VLOOKUP(E14,Lists!$B$2:$C$7,2,FALSE),0)&lt;12,"Conditional — ","")&amp;IF(E9&gt;=80,"Advance",IF(E9&gt;=65,"Consider",IF(E9&gt;=50,"Hold","Decline")))</f>
        <v/>
      </c>
      <c r="F10" s="19">
        <f>IF(IFERROR(VLOOKUP(F14,Lists!$B$2:$C$7,2,FALSE),0)&lt;12,"Conditional — ","")&amp;IF(F9&gt;=80,"Advance",IF(F9&gt;=65,"Consider",IF(F9&gt;=50,"Hold","Decline")))</f>
        <v/>
      </c>
      <c r="G10" s="19">
        <f>IF(IFERROR(VLOOKUP(G14,Lists!$B$2:$C$7,2,FALSE),0)&lt;12,"Conditional — ","")&amp;IF(G9&gt;=80,"Advance",IF(G9&gt;=65,"Consider",IF(G9&gt;=50,"Hold","Decline")))</f>
        <v/>
      </c>
      <c r="H10" s="19">
        <f>IF(IFERROR(VLOOKUP(H14,Lists!$B$2:$C$7,2,FALSE),0)&lt;12,"Conditional — ","")&amp;IF(H9&gt;=80,"Advance",IF(H9&gt;=65,"Consider",IF(H9&gt;=50,"Hold","Decline")))</f>
        <v/>
      </c>
      <c r="I10" s="19">
        <f>IF(IFERROR(VLOOKUP(I14,Lists!$B$2:$C$7,2,FALSE),0)&lt;12,"Conditional — ","")&amp;IF(I9&gt;=80,"Advance",IF(I9&gt;=65,"Consider",IF(I9&gt;=50,"Hold","Decline")))</f>
        <v/>
      </c>
      <c r="J10" s="19">
        <f>IF(IFERROR(VLOOKUP(J14,Lists!$B$2:$C$7,2,FALSE),0)&lt;12,"Conditional — ","")&amp;IF(J9&gt;=80,"Advance",IF(J9&gt;=65,"Consider",IF(J9&gt;=50,"Hold","Decline")))</f>
        <v/>
      </c>
      <c r="K10" s="19">
        <f>IF(IFERROR(VLOOKUP(K14,Lists!$B$2:$C$7,2,FALSE),0)&lt;12,"Conditional — ","")&amp;IF(K9&gt;=80,"Advance",IF(K9&gt;=65,"Consider",IF(K9&gt;=50,"Hold","Decline")))</f>
        <v/>
      </c>
      <c r="L10" s="19">
        <f>IF(IFERROR(VLOOKUP(L14,Lists!$B$2:$C$7,2,FALSE),0)&lt;12,"Conditional — ","")&amp;IF(L9&gt;=80,"Advance",IF(L9&gt;=65,"Consider",IF(L9&gt;=50,"Hold","Decline")))</f>
        <v/>
      </c>
      <c r="M10" s="19">
        <f>IF(IFERROR(VLOOKUP(M14,Lists!$B$2:$C$7,2,FALSE),0)&lt;12,"Conditional — ","")&amp;IF(M9&gt;=80,"Advance",IF(M9&gt;=65,"Consider",IF(M9&gt;=50,"Hold","Decline")))</f>
        <v/>
      </c>
      <c r="N10" s="19">
        <f>IF(IFERROR(VLOOKUP(N14,Lists!$B$2:$C$7,2,FALSE),0)&lt;12,"Conditional — ","")&amp;IF(N9&gt;=80,"Advance",IF(N9&gt;=65,"Consider",IF(N9&gt;=50,"Hold","Decline")))</f>
        <v/>
      </c>
      <c r="O10" s="19">
        <f>IF(IFERROR(VLOOKUP(O14,Lists!$B$2:$C$7,2,FALSE),0)&lt;12,"Conditional — ","")&amp;IF(O9&gt;=80,"Advance",IF(O9&gt;=65,"Consider",IF(O9&gt;=50,"Hold","Decline")))</f>
        <v/>
      </c>
      <c r="P10" s="19">
        <f>IF(IFERROR(VLOOKUP(P14,Lists!$B$2:$C$7,2,FALSE),0)&lt;12,"Conditional — ","")&amp;IF(P9&gt;=80,"Advance",IF(P9&gt;=65,"Consider",IF(P9&gt;=50,"Hold","Decline")))</f>
        <v/>
      </c>
      <c r="Q10" s="19">
        <f>IF(IFERROR(VLOOKUP(Q14,Lists!$B$2:$C$7,2,FALSE),0)&lt;12,"Conditional — ","")&amp;IF(Q9&gt;=80,"Advance",IF(Q9&gt;=65,"Consider",IF(Q9&gt;=50,"Hold","Decline")))</f>
        <v/>
      </c>
      <c r="R10" s="19">
        <f>IF(IFERROR(VLOOKUP(R14,Lists!$B$2:$C$7,2,FALSE),0)&lt;12,"Conditional — ","")&amp;IF(R9&gt;=80,"Advance",IF(R9&gt;=65,"Consider",IF(R9&gt;=50,"Hold","Decline")))</f>
        <v/>
      </c>
      <c r="S10" s="19">
        <f>IF(IFERROR(VLOOKUP(S14,Lists!$B$2:$C$7,2,FALSE),0)&lt;12,"Conditional — ","")&amp;IF(S9&gt;=80,"Advance",IF(S9&gt;=65,"Consider",IF(S9&gt;=50,"Hold","Decline")))</f>
        <v/>
      </c>
      <c r="T10" s="19">
        <f>IF(IFERROR(VLOOKUP(T14,Lists!$B$2:$C$7,2,FALSE),0)&lt;12,"Conditional — ","")&amp;IF(T9&gt;=80,"Advance",IF(T9&gt;=65,"Consider",IF(T9&gt;=50,"Hold","Decline")))</f>
        <v/>
      </c>
    </row>
    <row r="11">
      <c r="B11" s="20" t="inlineStr">
        <is>
          <t>Flags</t>
        </is>
      </c>
      <c r="C11" s="16" t="inlineStr">
        <is>
          <t>stop-checks raised, of three</t>
        </is>
      </c>
      <c r="E11" s="21">
        <f>(IF(E15="STOP-CHECK",1,0)+IF(E16="STOP-CHECK",1,0)+IF(E25="STOP-CHECK",1,0))</f>
        <v/>
      </c>
      <c r="F11" s="21">
        <f>(IF(F15="STOP-CHECK",1,0)+IF(F16="STOP-CHECK",1,0)+IF(F25="STOP-CHECK",1,0))</f>
        <v/>
      </c>
      <c r="G11" s="21">
        <f>(IF(G15="STOP-CHECK",1,0)+IF(G16="STOP-CHECK",1,0)+IF(G25="STOP-CHECK",1,0))</f>
        <v/>
      </c>
      <c r="H11" s="21">
        <f>(IF(H15="STOP-CHECK",1,0)+IF(H16="STOP-CHECK",1,0)+IF(H25="STOP-CHECK",1,0))</f>
        <v/>
      </c>
      <c r="I11" s="21">
        <f>(IF(I15="STOP-CHECK",1,0)+IF(I16="STOP-CHECK",1,0)+IF(I25="STOP-CHECK",1,0))</f>
        <v/>
      </c>
      <c r="J11" s="21">
        <f>(IF(J15="STOP-CHECK",1,0)+IF(J16="STOP-CHECK",1,0)+IF(J25="STOP-CHECK",1,0))</f>
        <v/>
      </c>
      <c r="K11" s="21">
        <f>(IF(K15="STOP-CHECK",1,0)+IF(K16="STOP-CHECK",1,0)+IF(K25="STOP-CHECK",1,0))</f>
        <v/>
      </c>
      <c r="L11" s="21">
        <f>(IF(L15="STOP-CHECK",1,0)+IF(L16="STOP-CHECK",1,0)+IF(L25="STOP-CHECK",1,0))</f>
        <v/>
      </c>
      <c r="M11" s="21">
        <f>(IF(M15="STOP-CHECK",1,0)+IF(M16="STOP-CHECK",1,0)+IF(M25="STOP-CHECK",1,0))</f>
        <v/>
      </c>
      <c r="N11" s="21">
        <f>(IF(N15="STOP-CHECK",1,0)+IF(N16="STOP-CHECK",1,0)+IF(N25="STOP-CHECK",1,0))</f>
        <v/>
      </c>
      <c r="O11" s="21">
        <f>(IF(O15="STOP-CHECK",1,0)+IF(O16="STOP-CHECK",1,0)+IF(O25="STOP-CHECK",1,0))</f>
        <v/>
      </c>
      <c r="P11" s="21">
        <f>(IF(P15="STOP-CHECK",1,0)+IF(P16="STOP-CHECK",1,0)+IF(P25="STOP-CHECK",1,0))</f>
        <v/>
      </c>
      <c r="Q11" s="21">
        <f>(IF(Q15="STOP-CHECK",1,0)+IF(Q16="STOP-CHECK",1,0)+IF(Q25="STOP-CHECK",1,0))</f>
        <v/>
      </c>
      <c r="R11" s="21">
        <f>(IF(R15="STOP-CHECK",1,0)+IF(R16="STOP-CHECK",1,0)+IF(R25="STOP-CHECK",1,0))</f>
        <v/>
      </c>
      <c r="S11" s="21">
        <f>(IF(S15="STOP-CHECK",1,0)+IF(S16="STOP-CHECK",1,0)+IF(S25="STOP-CHECK",1,0))</f>
        <v/>
      </c>
      <c r="T11" s="21">
        <f>(IF(T15="STOP-CHECK",1,0)+IF(T16="STOP-CHECK",1,0)+IF(T25="STOP-CHECK",1,0))</f>
        <v/>
      </c>
    </row>
    <row r="13" ht="21" customHeight="1">
      <c r="B13" s="4" t="inlineStr">
        <is>
          <t>A  ·  COMPANY AND PRODUCT</t>
        </is>
      </c>
    </row>
    <row r="14" ht="24" customHeight="1">
      <c r="B14" s="22" t="inlineStr">
        <is>
          <t>A1</t>
        </is>
      </c>
      <c r="C14" s="23" t="inlineStr">
        <is>
          <t>Home Care Home Base integration</t>
        </is>
      </c>
      <c r="D14" s="16" t="inlineStr">
        <is>
          <t>Pick one line  ·  25 points</t>
        </is>
      </c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  <c r="T14" s="24" t="n"/>
    </row>
    <row r="15" ht="19" customHeight="1">
      <c r="B15" s="25" t="inlineStr">
        <is>
          <t>A2</t>
        </is>
      </c>
      <c r="C15" s="23" t="inlineStr">
        <is>
          <t>Customers, scale and references</t>
        </is>
      </c>
      <c r="D15" s="16" t="inlineStr">
        <is>
          <t>Flag  ·  stop-check if one customer or no references</t>
        </is>
      </c>
      <c r="E15" s="26" t="n"/>
      <c r="F15" s="26" t="n"/>
      <c r="G15" s="26" t="n"/>
      <c r="H15" s="26" t="n"/>
      <c r="I15" s="26" t="n"/>
      <c r="J15" s="26" t="n"/>
      <c r="K15" s="26" t="n"/>
      <c r="L15" s="26" t="n"/>
      <c r="M15" s="26" t="n"/>
      <c r="N15" s="26" t="n"/>
      <c r="O15" s="26" t="n"/>
      <c r="P15" s="26" t="n"/>
      <c r="Q15" s="26" t="n"/>
      <c r="R15" s="26" t="n"/>
      <c r="S15" s="26" t="n"/>
      <c r="T15" s="26" t="n"/>
    </row>
    <row r="16" ht="19" customHeight="1">
      <c r="B16" s="25" t="inlineStr">
        <is>
          <t>A3</t>
        </is>
      </c>
      <c r="C16" s="23" t="inlineStr">
        <is>
          <t>Measured impact</t>
        </is>
      </c>
      <c r="D16" s="16" t="inlineStr">
        <is>
          <t>Flag  ·  watch if no baseline or period</t>
        </is>
      </c>
      <c r="E16" s="26" t="n"/>
      <c r="F16" s="26" t="n"/>
      <c r="G16" s="26" t="n"/>
      <c r="H16" s="26" t="n"/>
      <c r="I16" s="26" t="n"/>
      <c r="J16" s="26" t="n"/>
      <c r="K16" s="26" t="n"/>
      <c r="L16" s="26" t="n"/>
      <c r="M16" s="26" t="n"/>
      <c r="N16" s="26" t="n"/>
      <c r="O16" s="26" t="n"/>
      <c r="P16" s="26" t="n"/>
      <c r="Q16" s="26" t="n"/>
      <c r="R16" s="26" t="n"/>
      <c r="S16" s="26" t="n"/>
      <c r="T16" s="26" t="n"/>
    </row>
    <row r="18" ht="21" customHeight="1">
      <c r="B18" s="4" t="inlineStr">
        <is>
          <t>B  ·  COVERAGE SELF-ASSESSMENT   —   how much of our scope they cover</t>
        </is>
      </c>
    </row>
    <row r="19" ht="19" customHeight="1">
      <c r="B19" s="27" t="inlineStr">
        <is>
          <t>Section B</t>
        </is>
      </c>
      <c r="C19" s="23" t="inlineStr">
        <is>
          <t>Capacity</t>
        </is>
      </c>
      <c r="D19" s="16" t="inlineStr">
        <is>
          <t>Workforce supply · availability &amp; reach · the capacity math  ·  0–3  ·  10 points</t>
        </is>
      </c>
      <c r="E19" s="28" t="n"/>
      <c r="F19" s="28" t="n"/>
      <c r="G19" s="28" t="n"/>
      <c r="H19" s="28" t="n"/>
      <c r="I19" s="28" t="n"/>
      <c r="J19" s="28" t="n"/>
      <c r="K19" s="28" t="n"/>
      <c r="L19" s="28" t="n"/>
      <c r="M19" s="28" t="n"/>
      <c r="N19" s="28" t="n"/>
      <c r="O19" s="28" t="n"/>
      <c r="P19" s="28" t="n"/>
      <c r="Q19" s="28" t="n"/>
      <c r="R19" s="28" t="n"/>
      <c r="S19" s="28" t="n"/>
      <c r="T19" s="28" t="n"/>
    </row>
    <row r="20" ht="19" customHeight="1">
      <c r="B20" s="29" t="inlineStr">
        <is>
          <t>Section B</t>
        </is>
      </c>
      <c r="C20" s="23" t="inlineStr">
        <is>
          <t>Scheduling</t>
        </is>
      </c>
      <c r="D20" s="16" t="inlineStr">
        <is>
          <t>Demand · matching · routing &amp; the week · exceptions  ·  0–3  ·  10 points</t>
        </is>
      </c>
      <c r="E20" s="28" t="n"/>
      <c r="F20" s="28" t="n"/>
      <c r="G20" s="28" t="n"/>
      <c r="H20" s="28" t="n"/>
      <c r="I20" s="28" t="n"/>
      <c r="J20" s="28" t="n"/>
      <c r="K20" s="28" t="n"/>
      <c r="L20" s="28" t="n"/>
      <c r="M20" s="28" t="n"/>
      <c r="N20" s="28" t="n"/>
      <c r="O20" s="28" t="n"/>
      <c r="P20" s="28" t="n"/>
      <c r="Q20" s="28" t="n"/>
      <c r="R20" s="28" t="n"/>
      <c r="S20" s="28" t="n"/>
      <c r="T20" s="28" t="n"/>
    </row>
    <row r="21" ht="19" customHeight="1">
      <c r="B21" s="30" t="inlineStr">
        <is>
          <t>Section B</t>
        </is>
      </c>
      <c r="C21" s="23" t="inlineStr">
        <is>
          <t>Engagement</t>
        </is>
      </c>
      <c r="D21" s="16" t="inlineStr">
        <is>
          <t>Before the visit · when plans change · incentives · care team  ·  0–3  ·  10 points</t>
        </is>
      </c>
      <c r="E21" s="28" t="n"/>
      <c r="F21" s="28" t="n"/>
      <c r="G21" s="28" t="n"/>
      <c r="H21" s="28" t="n"/>
      <c r="I21" s="28" t="n"/>
      <c r="J21" s="28" t="n"/>
      <c r="K21" s="28" t="n"/>
      <c r="L21" s="28" t="n"/>
      <c r="M21" s="28" t="n"/>
      <c r="N21" s="28" t="n"/>
      <c r="O21" s="28" t="n"/>
      <c r="P21" s="28" t="n"/>
      <c r="Q21" s="28" t="n"/>
      <c r="R21" s="28" t="n"/>
      <c r="S21" s="28" t="n"/>
      <c r="T21" s="28" t="n"/>
    </row>
    <row r="23" ht="21" customHeight="1">
      <c r="B23" s="4" t="inlineStr">
        <is>
          <t>C  ·  HOW YOUR PRODUCT WORKS</t>
        </is>
      </c>
    </row>
    <row r="24" ht="24" customHeight="1">
      <c r="B24" s="31" t="inlineStr">
        <is>
          <t>C1–C5, C7</t>
        </is>
      </c>
      <c r="C24" s="23" t="inlineStr">
        <is>
          <t>Sophistication</t>
        </is>
      </c>
      <c r="D24" s="16" t="inlineStr">
        <is>
          <t>How much of the work it does  ·  0–4  ·  20 points</t>
        </is>
      </c>
      <c r="E24" s="28" t="n"/>
      <c r="F24" s="28" t="n"/>
      <c r="G24" s="28" t="n"/>
      <c r="H24" s="28" t="n"/>
      <c r="I24" s="28" t="n"/>
      <c r="J24" s="28" t="n"/>
      <c r="K24" s="28" t="n"/>
      <c r="L24" s="28" t="n"/>
      <c r="M24" s="28" t="n"/>
      <c r="N24" s="28" t="n"/>
      <c r="O24" s="28" t="n"/>
      <c r="P24" s="28" t="n"/>
      <c r="Q24" s="28" t="n"/>
      <c r="R24" s="28" t="n"/>
      <c r="S24" s="28" t="n"/>
      <c r="T24" s="28" t="n"/>
    </row>
    <row r="25" ht="19" customHeight="1">
      <c r="B25" s="25" t="inlineStr">
        <is>
          <t>C6</t>
        </is>
      </c>
      <c r="C25" s="23" t="inlineStr">
        <is>
          <t>When your product is down</t>
        </is>
      </c>
      <c r="D25" s="16" t="inlineStr">
        <is>
          <t>Flag  ·  stop-check if no uptime figure or commitment</t>
        </is>
      </c>
      <c r="E25" s="26" t="n"/>
      <c r="F25" s="26" t="n"/>
      <c r="G25" s="26" t="n"/>
      <c r="H25" s="26" t="n"/>
      <c r="I25" s="26" t="n"/>
      <c r="J25" s="26" t="n"/>
      <c r="K25" s="26" t="n"/>
      <c r="L25" s="26" t="n"/>
      <c r="M25" s="26" t="n"/>
      <c r="N25" s="26" t="n"/>
      <c r="O25" s="26" t="n"/>
      <c r="P25" s="26" t="n"/>
      <c r="Q25" s="26" t="n"/>
      <c r="R25" s="26" t="n"/>
      <c r="S25" s="26" t="n"/>
      <c r="T25" s="26" t="n"/>
    </row>
    <row r="27" ht="21" customHeight="1">
      <c r="B27" s="4" t="inlineStr">
        <is>
          <t>D  ·  THE CLINICIAN'S PLACE IN THE MODEL</t>
        </is>
      </c>
    </row>
    <row r="28" ht="24" customHeight="1">
      <c r="B28" s="32" t="inlineStr">
        <is>
          <t>D1–D3</t>
        </is>
      </c>
      <c r="C28" s="23" t="inlineStr">
        <is>
          <t>Clinician fit</t>
        </is>
      </c>
      <c r="D28" s="16" t="inlineStr">
        <is>
          <t>Control, and whether adoption is shown  ·  0–4  ·  10 points</t>
        </is>
      </c>
      <c r="E28" s="28" t="n"/>
      <c r="F28" s="28" t="n"/>
      <c r="G28" s="28" t="n"/>
      <c r="H28" s="28" t="n"/>
      <c r="I28" s="28" t="n"/>
      <c r="J28" s="28" t="n"/>
      <c r="K28" s="28" t="n"/>
      <c r="L28" s="28" t="n"/>
      <c r="M28" s="28" t="n"/>
      <c r="N28" s="28" t="n"/>
      <c r="O28" s="28" t="n"/>
      <c r="P28" s="28" t="n"/>
      <c r="Q28" s="28" t="n"/>
      <c r="R28" s="28" t="n"/>
      <c r="S28" s="28" t="n"/>
      <c r="T28" s="28" t="n"/>
    </row>
    <row r="30" ht="21" customHeight="1">
      <c r="B30" s="4" t="inlineStr">
        <is>
          <t>E  ·  FIT AND PARTNERSHIP</t>
        </is>
      </c>
    </row>
    <row r="31" ht="24" customHeight="1">
      <c r="B31" s="32" t="inlineStr">
        <is>
          <t>E1–E4</t>
        </is>
      </c>
      <c r="C31" s="23" t="inlineStr">
        <is>
          <t>Partnership</t>
        </is>
      </c>
      <c r="D31" s="16" t="inlineStr">
        <is>
          <t>Terms offered, and the change-management story  ·  0–4  ·  15 points</t>
        </is>
      </c>
      <c r="E31" s="28" t="n"/>
      <c r="F31" s="28" t="n"/>
      <c r="G31" s="28" t="n"/>
      <c r="H31" s="28" t="n"/>
      <c r="I31" s="28" t="n"/>
      <c r="J31" s="28" t="n"/>
      <c r="K31" s="28" t="n"/>
      <c r="L31" s="28" t="n"/>
      <c r="M31" s="28" t="n"/>
      <c r="N31" s="28" t="n"/>
      <c r="O31" s="28" t="n"/>
      <c r="P31" s="28" t="n"/>
      <c r="Q31" s="28" t="n"/>
      <c r="R31" s="28" t="n"/>
      <c r="S31" s="28" t="n"/>
      <c r="T31" s="28" t="n"/>
    </row>
    <row r="33" ht="21" customHeight="1">
      <c r="B33" s="33" t="inlineStr">
        <is>
          <t>NOTES   —   one line each.  This is what we go and ask.</t>
        </is>
      </c>
    </row>
    <row r="34" ht="62" customHeight="1">
      <c r="B34" s="34" t="inlineStr"/>
      <c r="C34" s="35" t="inlineStr">
        <is>
          <t>What stands out</t>
        </is>
      </c>
      <c r="D34" s="36" t="inlineStr">
        <is>
          <t>against the field, or against our own thinking</t>
        </is>
      </c>
      <c r="E34" s="37" t="n"/>
      <c r="F34" s="37" t="n"/>
      <c r="G34" s="37" t="n"/>
      <c r="H34" s="37" t="n"/>
      <c r="I34" s="37" t="n"/>
      <c r="J34" s="37" t="n"/>
      <c r="K34" s="37" t="n"/>
      <c r="L34" s="37" t="n"/>
      <c r="M34" s="37" t="n"/>
      <c r="N34" s="37" t="n"/>
      <c r="O34" s="37" t="n"/>
      <c r="P34" s="37" t="n"/>
      <c r="Q34" s="37" t="n"/>
      <c r="R34" s="37" t="n"/>
      <c r="S34" s="37" t="n"/>
      <c r="T34" s="37" t="n"/>
    </row>
    <row r="35" ht="62" customHeight="1">
      <c r="B35" s="34" t="inlineStr"/>
      <c r="C35" s="35" t="inlineStr">
        <is>
          <t>What worries me</t>
        </is>
      </c>
      <c r="D35" s="36" t="inlineStr">
        <is>
          <t>including anything flagged above</t>
        </is>
      </c>
      <c r="E35" s="37" t="n"/>
      <c r="F35" s="37" t="n"/>
      <c r="G35" s="37" t="n"/>
      <c r="H35" s="37" t="n"/>
      <c r="I35" s="37" t="n"/>
      <c r="J35" s="37" t="n"/>
      <c r="K35" s="37" t="n"/>
      <c r="L35" s="37" t="n"/>
      <c r="M35" s="37" t="n"/>
      <c r="N35" s="37" t="n"/>
      <c r="O35" s="37" t="n"/>
      <c r="P35" s="37" t="n"/>
      <c r="Q35" s="37" t="n"/>
      <c r="R35" s="37" t="n"/>
      <c r="S35" s="37" t="n"/>
      <c r="T35" s="37" t="n"/>
    </row>
    <row r="36" ht="62" customHeight="1">
      <c r="B36" s="34" t="inlineStr"/>
      <c r="C36" s="35" t="inlineStr">
        <is>
          <t>What to go and ask</t>
        </is>
      </c>
      <c r="D36" s="36" t="inlineStr">
        <is>
          <t>the demo agenda</t>
        </is>
      </c>
      <c r="E36" s="37" t="n"/>
      <c r="F36" s="37" t="n"/>
      <c r="G36" s="37" t="n"/>
      <c r="H36" s="37" t="n"/>
      <c r="I36" s="37" t="n"/>
      <c r="J36" s="37" t="n"/>
      <c r="K36" s="37" t="n"/>
      <c r="L36" s="37" t="n"/>
      <c r="M36" s="37" t="n"/>
      <c r="N36" s="37" t="n"/>
      <c r="O36" s="37" t="n"/>
      <c r="P36" s="37" t="n"/>
      <c r="Q36" s="37" t="n"/>
      <c r="R36" s="37" t="n"/>
      <c r="S36" s="37" t="n"/>
      <c r="T36" s="37" t="n"/>
    </row>
  </sheetData>
  <mergeCells count="8">
    <mergeCell ref="B23:T23"/>
    <mergeCell ref="B8:T8"/>
    <mergeCell ref="B18:T18"/>
    <mergeCell ref="B13:T13"/>
    <mergeCell ref="B27:T27"/>
    <mergeCell ref="B4:T4"/>
    <mergeCell ref="B30:T30"/>
    <mergeCell ref="B33:T33"/>
  </mergeCells>
  <conditionalFormatting sqref="E9:T9">
    <cfRule type="colorScale" priority="1">
      <colorScale>
        <cfvo type="num" val="40"/>
        <cfvo type="num" val="65"/>
        <cfvo type="num" val="90"/>
        <color rgb="00F5E3E3"/>
        <color rgb="00FBF3DD"/>
        <color rgb="00DDEBE0"/>
      </colorScale>
    </cfRule>
  </conditionalFormatting>
  <conditionalFormatting sqref="E10:T10">
    <cfRule type="expression" priority="2" dxfId="0">
      <formula>ISNUMBER(SEARCH("Conditional",E10))</formula>
    </cfRule>
  </conditionalFormatting>
  <conditionalFormatting sqref="E11:T11">
    <cfRule type="expression" priority="3" dxfId="0">
      <formula>E11&gt;0</formula>
    </cfRule>
  </conditionalFormatting>
  <conditionalFormatting sqref="E15:T15">
    <cfRule type="expression" priority="4" dxfId="1">
      <formula>E15="STOP-CHECK"</formula>
    </cfRule>
  </conditionalFormatting>
  <conditionalFormatting sqref="E16:T16">
    <cfRule type="expression" priority="5" dxfId="1">
      <formula>E16="STOP-CHECK"</formula>
    </cfRule>
  </conditionalFormatting>
  <conditionalFormatting sqref="E25:T25">
    <cfRule type="expression" priority="6" dxfId="1">
      <formula>E25="STOP-CHECK"</formula>
    </cfRule>
  </conditionalFormatting>
  <conditionalFormatting sqref="E19:T19">
    <cfRule type="colorScale" priority="7">
      <colorScale>
        <cfvo type="num" val="0"/>
        <cfvo type="num" val="3"/>
        <color rgb="00FFFFFF"/>
        <color rgb="001F6F78"/>
      </colorScale>
    </cfRule>
  </conditionalFormatting>
  <conditionalFormatting sqref="E20:T20">
    <cfRule type="colorScale" priority="8">
      <colorScale>
        <cfvo type="num" val="0"/>
        <cfvo type="num" val="3"/>
        <color rgb="00FFFFFF"/>
        <color rgb="002E599D"/>
      </colorScale>
    </cfRule>
  </conditionalFormatting>
  <conditionalFormatting sqref="E21:T21">
    <cfRule type="colorScale" priority="9">
      <colorScale>
        <cfvo type="num" val="0"/>
        <cfvo type="num" val="3"/>
        <color rgb="00FFFFFF"/>
        <color rgb="004E8A5B"/>
      </colorScale>
    </cfRule>
  </conditionalFormatting>
  <dataValidations count="6">
    <dataValidation sqref="E14:T14" showDropDown="0" showInputMessage="0" showErrorMessage="0" allowBlank="1" promptTitle="A1 — Home Care Home Base" prompt="Pick one line. Ambiguous? Take the lower one and say so in Notes." type="list">
      <formula1>=Lists!$B$2:$B$7</formula1>
    </dataValidation>
    <dataValidation sqref="E19:T19 E20:T20 E21:T21" showDropDown="0" showInputMessage="0" showErrorMessage="0" allowBlank="1" promptTitle="Scope, 0–3" prompt="How much of this arena they cover. Counting their Section B yeses gets you most of the way there." type="list">
      <formula1>=Lists!$E$2:$E$5</formula1>
    </dataValidation>
    <dataValidation sqref="E24:T24" showDropDown="0" showInputMessage="0" showErrorMessage="0" allowBlank="1" promptTitle="Sophistication, 0–4" prompt="1 shows it · 2 checks it · 3 recommends it · 4 runs it. Score what the product does, not how much they wrote about it." type="list">
      <formula1>=Lists!$G$2:$G$6</formula1>
    </dataValidation>
    <dataValidation sqref="E28:T28" showDropDown="0" showInputMessage="0" showErrorMessage="0" allowBlank="1" promptTitle="Clinician fit, 0–4" prompt="Does the clinician keep real control, and did they show adoption data?" type="list">
      <formula1>=Lists!$I$2:$I$6</formula1>
    </dataValidation>
    <dataValidation sqref="E31:T31" showDropDown="0" showInputMessage="0" showErrorMessage="0" allowBlank="1" promptTitle="Partnership, 0–4" prompt="Specific terms means design-partner pricing, co-development, roadmap governance or a revenue share. A discount is a discount." type="list">
      <formula1>=Lists!$K$2:$K$6</formula1>
    </dataValidation>
    <dataValidation sqref="E15:T15 E16:T16 E25:T25" showDropDown="0" showInputMessage="0" showErrorMessage="0" allowBlank="1" promptTitle="Flag" prompt="A stop-check is resolved before advancing, not traded against points." type="list">
      <formula1>"OK,Watch,STOP-CHECK"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K7"/>
  <sheetViews>
    <sheetView workbookViewId="0">
      <selection activeCell="A1" sqref="A1"/>
    </sheetView>
  </sheetViews>
  <sheetFormatPr baseColWidth="8" defaultRowHeight="15"/>
  <cols>
    <col width="48" customWidth="1" min="2" max="2"/>
    <col width="48" customWidth="1" min="5" max="5"/>
    <col width="48" customWidth="1" min="7" max="7"/>
    <col width="48" customWidth="1" min="9" max="9"/>
    <col width="48" customWidth="1" min="11" max="11"/>
  </cols>
  <sheetData>
    <row r="1">
      <c r="B1" s="1" t="inlineStr">
        <is>
          <t>A1 rung</t>
        </is>
      </c>
      <c r="C1" s="1" t="inlineStr">
        <is>
          <t>Points</t>
        </is>
      </c>
      <c r="E1" s="1" t="inlineStr">
        <is>
          <t>Scope</t>
        </is>
      </c>
      <c r="G1" s="1" t="inlineStr">
        <is>
          <t>Sophistication</t>
        </is>
      </c>
      <c r="I1" s="1" t="inlineStr">
        <is>
          <t>Clinician</t>
        </is>
      </c>
      <c r="K1" s="1" t="inlineStr">
        <is>
          <t>Partnership</t>
        </is>
      </c>
    </row>
    <row r="2">
      <c r="B2" t="inlineStr">
        <is>
          <t>Live — reads and writes, several customers</t>
        </is>
      </c>
      <c r="C2" t="n">
        <v>25</v>
      </c>
      <c r="E2" t="inlineStr">
        <is>
          <t>0 — Little or none</t>
        </is>
      </c>
      <c r="G2" t="inlineStr">
        <is>
          <t>0 — Not addressed</t>
        </is>
      </c>
      <c r="I2" t="inlineStr">
        <is>
          <t>0 — Didn't answer</t>
        </is>
      </c>
      <c r="K2" t="inlineStr">
        <is>
          <t>0 — Didn't answer</t>
        </is>
      </c>
    </row>
    <row r="3">
      <c r="B3" t="inlineStr">
        <is>
          <t>Live — one customer, or one-way only</t>
        </is>
      </c>
      <c r="C3" t="n">
        <v>20</v>
      </c>
      <c r="E3" t="inlineStr">
        <is>
          <t>1 — Covers some of it</t>
        </is>
      </c>
      <c r="G3" t="inlineStr">
        <is>
          <t>1 — Shows it</t>
        </is>
      </c>
      <c r="I3" t="inlineStr">
        <is>
          <t>1 — System decides, clinician cannot override</t>
        </is>
      </c>
      <c r="K3" t="inlineStr">
        <is>
          <t>1 — Standard commercial relationship only</t>
        </is>
      </c>
    </row>
    <row r="4">
      <c r="B4" t="inlineStr">
        <is>
          <t>Live — via a partner, flat file or screen scraping</t>
        </is>
      </c>
      <c r="C4" t="n">
        <v>12</v>
      </c>
      <c r="E4" t="inlineStr">
        <is>
          <t>2 — Covers most of it</t>
        </is>
      </c>
      <c r="G4" t="inlineStr">
        <is>
          <t>2 — Checks it</t>
        </is>
      </c>
      <c r="I4" t="inlineStr">
        <is>
          <t>2 — System decides, clinician can override</t>
        </is>
      </c>
      <c r="K4" t="inlineStr">
        <is>
          <t>2 — Willing, but no structure offered</t>
        </is>
      </c>
    </row>
    <row r="5">
      <c r="B5" t="inlineStr">
        <is>
          <t>In development — with a date</t>
        </is>
      </c>
      <c r="C5" t="n">
        <v>6</v>
      </c>
      <c r="E5" t="inlineStr">
        <is>
          <t>3 — Covers essentially all of it</t>
        </is>
      </c>
      <c r="G5" t="inlineStr">
        <is>
          <t>3 — Recommends it</t>
        </is>
      </c>
      <c r="I5" t="inlineStr">
        <is>
          <t>3 — Clinician keeps real control; adoption claimed</t>
        </is>
      </c>
      <c r="K5" t="inlineStr">
        <is>
          <t>3 — Specific terms, or a real change-management story</t>
        </is>
      </c>
    </row>
    <row r="6">
      <c r="B6" t="inlineStr">
        <is>
          <t>Roadmap — no date</t>
        </is>
      </c>
      <c r="C6" t="n">
        <v>2</v>
      </c>
      <c r="G6" t="inlineStr">
        <is>
          <t>4 — Runs it</t>
        </is>
      </c>
      <c r="I6" t="inlineStr">
        <is>
          <t>4 — Clinician keeps real control; adoption shown with data</t>
        </is>
      </c>
      <c r="K6" t="inlineStr">
        <is>
          <t>4 — Specific terms and a real change-management story</t>
        </is>
      </c>
    </row>
    <row r="7">
      <c r="B7" t="inlineStr">
        <is>
          <t>None, and no path to one</t>
        </is>
      </c>
      <c r="C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2026-09-03T16:48:05Z</dcterms:created>
  <dcterms:modified xsi:type="dcterms:W3CDTF">2026-09-03T16:48:05Z</dcterms:modified>
</cp:coreProperties>
</file>