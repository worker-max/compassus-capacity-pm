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ample" sheetId="1" state="visible" r:id="rId1"/>
    <sheet name="Scorecard" sheetId="2" state="visible" r:id="rId2"/>
    <sheet name="Start Here" sheetId="3" state="visible" r:id="rId3"/>
    <sheet name="Lists" sheetId="4" state="hidden" r:id="rId4"/>
  </sheets>
  <definedNames>
    <definedName name="HCHB_List">Lists!$B$2:$B$7</definedName>
    <definedName name="Scope_List">Lists!$E$2:$E$6</definedName>
    <definedName name="Soph_List">Lists!$G$2:$G$6</definedName>
    <definedName name="Clin_List">Lists!$I$2:$I$6</definedName>
    <definedName name="Part_List">Lists!$K$2:$K$6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3">
    <font>
      <name val="Calibri"/>
      <family val="2"/>
      <color theme="1"/>
      <sz val="11"/>
      <scheme val="minor"/>
    </font>
    <font>
      <name val="Aptos Narrow"/>
      <b val="1"/>
      <color rgb="005A6560"/>
      <sz val="9"/>
    </font>
    <font>
      <name val="Aptos Narrow"/>
      <b val="1"/>
      <color rgb="001B211E"/>
      <sz val="20"/>
    </font>
    <font>
      <name val="Aptos Narrow"/>
      <i val="1"/>
      <color rgb="005A6560"/>
      <sz val="10"/>
    </font>
    <font>
      <name val="Aptos Narrow"/>
      <b val="1"/>
      <color rgb="00FFFFFF"/>
      <sz val="9"/>
    </font>
    <font>
      <name val="Aptos Narrow"/>
      <color rgb="001B211E"/>
      <sz val="10"/>
    </font>
    <font>
      <name val="Aptos Narrow"/>
      <b val="1"/>
      <color rgb="00C6A01F"/>
      <sz val="11"/>
    </font>
    <font>
      <name val="Aptos Narrow"/>
      <b val="1"/>
      <color rgb="001B211E"/>
      <sz val="11"/>
    </font>
    <font>
      <name val="Aptos Narrow"/>
      <b val="1"/>
      <color rgb="001B211E"/>
      <sz val="10"/>
    </font>
    <font>
      <name val="Aptos Narrow"/>
      <i val="1"/>
      <color rgb="005A6560"/>
      <sz val="9"/>
    </font>
    <font>
      <name val="Aptos Narrow"/>
      <b val="1"/>
      <color rgb="001B211E"/>
      <sz val="18"/>
    </font>
    <font>
      <name val="Aptos Narrow"/>
      <b val="1"/>
      <color rgb="001B211E"/>
      <sz val="12"/>
    </font>
    <font>
      <name val="Aptos Narrow"/>
      <color rgb="005A6560"/>
      <sz val="9"/>
    </font>
    <font>
      <name val="Aptos Narrow"/>
      <b val="1"/>
      <color rgb="00792E2E"/>
      <sz val="10"/>
    </font>
    <font>
      <name val="Aptos Narrow"/>
      <b val="1"/>
      <color rgb="00C6A01F"/>
      <sz val="10"/>
    </font>
    <font>
      <name val="Aptos Narrow"/>
      <color rgb="001B211E"/>
      <sz val="9"/>
    </font>
    <font>
      <name val="Aptos Narrow"/>
      <color rgb="005A6560"/>
      <sz val="10"/>
    </font>
    <font>
      <name val="Aptos Narrow"/>
      <b val="1"/>
      <color rgb="001F6F78"/>
      <sz val="10"/>
    </font>
    <font>
      <name val="Aptos Narrow"/>
      <b val="1"/>
      <color rgb="002E599D"/>
      <sz val="10"/>
    </font>
    <font>
      <name val="Aptos Narrow"/>
      <b val="1"/>
      <color rgb="004E8A5B"/>
      <sz val="10"/>
    </font>
    <font>
      <name val="Aptos Narrow"/>
      <b val="1"/>
      <color rgb="00795CA7"/>
      <sz val="10"/>
    </font>
    <font>
      <name val="Aptos Narrow"/>
      <b val="1"/>
      <color rgb="001B211E"/>
      <sz val="14"/>
    </font>
    <font>
      <name val="Aptos Narrow"/>
      <b val="1"/>
      <color rgb="00792E2E"/>
      <sz val="9"/>
    </font>
  </fonts>
  <fills count="12">
    <fill>
      <patternFill/>
    </fill>
    <fill>
      <patternFill patternType="gray125"/>
    </fill>
    <fill>
      <patternFill patternType="solid">
        <fgColor rgb="001B211E"/>
      </patternFill>
    </fill>
    <fill>
      <patternFill patternType="solid">
        <fgColor rgb="00E9E9E5"/>
      </patternFill>
    </fill>
    <fill>
      <patternFill patternType="solid">
        <fgColor rgb="00FBFBF8"/>
      </patternFill>
    </fill>
    <fill>
      <patternFill patternType="solid">
        <fgColor rgb="00FFFDF4"/>
      </patternFill>
    </fill>
    <fill>
      <patternFill patternType="solid">
        <fgColor rgb="00FDF7F7"/>
      </patternFill>
    </fill>
    <fill>
      <patternFill patternType="solid">
        <fgColor rgb="001F6F78"/>
      </patternFill>
    </fill>
    <fill>
      <patternFill patternType="solid">
        <fgColor rgb="002E599D"/>
      </patternFill>
    </fill>
    <fill>
      <patternFill patternType="solid">
        <fgColor rgb="004E8A5B"/>
      </patternFill>
    </fill>
    <fill>
      <patternFill patternType="solid">
        <fgColor rgb="00792E2E"/>
      </patternFill>
    </fill>
    <fill>
      <patternFill patternType="solid">
        <fgColor rgb="00FFFFFF"/>
      </patternFill>
    </fill>
  </fills>
  <borders count="4">
    <border>
      <left/>
      <right/>
      <top/>
      <bottom/>
      <diagonal/>
    </border>
    <border>
      <bottom style="medium">
        <color rgb="001B211E"/>
      </bottom>
    </border>
    <border>
      <left style="thin">
        <color rgb="00C9CCC5"/>
      </left>
      <right style="thin">
        <color rgb="00C9CCC5"/>
      </right>
      <top style="thin">
        <color rgb="00C9CCC5"/>
      </top>
      <bottom style="thin">
        <color rgb="00C9CCC5"/>
      </bottom>
    </border>
    <border>
      <left style="thin">
        <color rgb="00C9CCC5"/>
      </left>
      <right style="thin">
        <color rgb="00C9CCC5"/>
      </right>
      <top style="medium">
        <color rgb="001B211E"/>
      </top>
      <bottom style="medium">
        <color rgb="001B211E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10" fillId="0" borderId="0" pivotButton="0" quotePrefix="0" xfId="0"/>
    <xf numFmtId="0" fontId="9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bottom"/>
    </xf>
    <xf numFmtId="0" fontId="1" fillId="0" borderId="0" applyAlignment="1" pivotButton="0" quotePrefix="0" xfId="0">
      <alignment horizontal="center" vertical="bottom"/>
    </xf>
    <xf numFmtId="0" fontId="8" fillId="4" borderId="1" applyAlignment="1" pivotButton="0" quotePrefix="0" xfId="0">
      <alignment horizontal="center" vertical="bottom" wrapText="1"/>
    </xf>
    <xf numFmtId="0" fontId="4" fillId="2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164" fontId="21" fillId="11" borderId="3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22" fillId="3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 wrapText="1"/>
    </xf>
    <xf numFmtId="1" fontId="13" fillId="3" borderId="2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15" fillId="5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5" fillId="6" borderId="2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0" fontId="4" fillId="8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center" vertical="center" wrapText="1"/>
    </xf>
    <xf numFmtId="0" fontId="4" fillId="9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4" fillId="10" borderId="0" applyAlignment="1" pivotButton="0" quotePrefix="0" xfId="0">
      <alignment horizontal="left" vertical="center" indent="1"/>
    </xf>
    <xf numFmtId="0" fontId="5" fillId="0" borderId="0" pivotButton="0" quotePrefix="0" xfId="0"/>
    <xf numFmtId="0" fontId="13" fillId="0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top" wrapText="1"/>
    </xf>
    <xf numFmtId="0" fontId="15" fillId="4" borderId="2" applyAlignment="1" pivotButton="0" quotePrefix="0" xfId="0">
      <alignment horizontal="left" vertical="top" wrapText="1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top" wrapText="1"/>
    </xf>
    <xf numFmtId="0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792E2E"/>
        </patternFill>
      </fill>
    </dxf>
    <dxf>
      <font>
        <b val="1"/>
        <color rgb="007A2020"/>
      </font>
      <fill>
        <patternFill patternType="solid">
          <fgColor rgb="00F5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92E2E"/>
    <outlinePr summaryBelow="1" summaryRight="1"/>
    <pageSetUpPr/>
  </sheetPr>
  <dimension ref="B2:U45"/>
  <sheetViews>
    <sheetView showGridLines="0" zoomScale="90" workbookViewId="0">
      <pane xSplit="5" ySplit="6" topLeftCell="F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2" customWidth="1" min="2" max="2"/>
    <col width="32" customWidth="1" min="3" max="3"/>
    <col width="46" customWidth="1" min="4" max="4"/>
    <col width="8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" t="inlineStr">
        <is>
          <t>COMPASSUS  ·  HOME HEALTH</t>
        </is>
      </c>
    </row>
    <row r="3" ht="26" customHeight="1">
      <c r="B3" s="2" t="inlineStr">
        <is>
          <t>Vendor Scorecard — Fast</t>
        </is>
      </c>
    </row>
    <row r="4">
      <c r="B4" s="3" t="inlineStr">
        <is>
          <t>A worked example. These three vendors are invented — the scores beside them are this sheet's own formulas. Score on the Scorecard tab, not this one.</t>
        </is>
      </c>
    </row>
    <row r="6" ht="42" customHeight="1">
      <c r="B6" s="4" t="inlineStr">
        <is>
          <t>VENDOR</t>
        </is>
      </c>
      <c r="E6" s="5" t="inlineStr">
        <is>
          <t>PTS</t>
        </is>
      </c>
      <c r="F6" s="6" t="inlineStr">
        <is>
          <t>Arbor Health Logistics</t>
        </is>
      </c>
      <c r="G6" s="6" t="inlineStr">
        <is>
          <t>Wayfinder Scheduling</t>
        </is>
      </c>
      <c r="H6" s="6" t="inlineStr">
        <is>
          <t>Northlight Health</t>
        </is>
      </c>
      <c r="I6" s="6" t="inlineStr">
        <is>
          <t>Vendor 04</t>
        </is>
      </c>
      <c r="J6" s="6" t="inlineStr">
        <is>
          <t>Vendor 05</t>
        </is>
      </c>
      <c r="K6" s="6" t="inlineStr">
        <is>
          <t>Vendor 06</t>
        </is>
      </c>
      <c r="L6" s="6" t="inlineStr">
        <is>
          <t>Vendor 07</t>
        </is>
      </c>
      <c r="M6" s="6" t="inlineStr">
        <is>
          <t>Vendor 08</t>
        </is>
      </c>
      <c r="N6" s="6" t="inlineStr">
        <is>
          <t>Vendor 09</t>
        </is>
      </c>
      <c r="O6" s="6" t="inlineStr">
        <is>
          <t>Vendor 10</t>
        </is>
      </c>
      <c r="P6" s="6" t="inlineStr">
        <is>
          <t>Vendor 11</t>
        </is>
      </c>
      <c r="Q6" s="6" t="inlineStr">
        <is>
          <t>Vendor 12</t>
        </is>
      </c>
      <c r="R6" s="6" t="inlineStr">
        <is>
          <t>Vendor 13</t>
        </is>
      </c>
      <c r="S6" s="6" t="inlineStr">
        <is>
          <t>Vendor 14</t>
        </is>
      </c>
      <c r="T6" s="6" t="inlineStr">
        <is>
          <t>Vendor 15</t>
        </is>
      </c>
      <c r="U6" s="6" t="inlineStr">
        <is>
          <t>Vendor 16</t>
        </is>
      </c>
    </row>
    <row r="8" ht="21" customHeight="1">
      <c r="B8" s="7" t="inlineStr">
        <is>
          <t>SCORE</t>
        </is>
      </c>
    </row>
    <row r="9" ht="26" customHeight="1">
      <c r="B9" s="8" t="inlineStr">
        <is>
          <t>TOTAL</t>
        </is>
      </c>
      <c r="C9" s="9" t="inlineStr">
        <is>
          <t>of 100</t>
        </is>
      </c>
      <c r="F9" s="10">
        <f>IF(F14="","",IFERROR(VLOOKUP(F14,Lists!$B$2:$C$7,2,FALSE),0)+IFERROR(VALUE(LEFT(F20,1)),0)/4*4+IFERROR(VALUE(LEFT(F21,1)),0)/4*4+IFERROR(VALUE(LEFT(F22,1)),0)/4*4+IFERROR(VALUE(LEFT(F24,1)),0)/4*4+IFERROR(VALUE(LEFT(F25,1)),0)/4*4+IFERROR(VALUE(LEFT(F26,1)),0)/4*4+IFERROR(VALUE(LEFT(F28,1)),0)/4*4+IFERROR(VALUE(LEFT(F29,1)),0)/4*4+IFERROR(VALUE(LEFT(F30,1)),0)/4*4+IFERROR(VALUE(LEFT(F33,1)),0)/4*20+IFERROR(VALUE(LEFT(F37,1)),0)/4*12+IFERROR(VALUE(LEFT(F40,1)),0)/4*12)</f>
        <v/>
      </c>
      <c r="G9" s="10">
        <f>IF(G14="","",IFERROR(VLOOKUP(G14,Lists!$B$2:$C$7,2,FALSE),0)+IFERROR(VALUE(LEFT(G20,1)),0)/4*4+IFERROR(VALUE(LEFT(G21,1)),0)/4*4+IFERROR(VALUE(LEFT(G22,1)),0)/4*4+IFERROR(VALUE(LEFT(G24,1)),0)/4*4+IFERROR(VALUE(LEFT(G25,1)),0)/4*4+IFERROR(VALUE(LEFT(G26,1)),0)/4*4+IFERROR(VALUE(LEFT(G28,1)),0)/4*4+IFERROR(VALUE(LEFT(G29,1)),0)/4*4+IFERROR(VALUE(LEFT(G30,1)),0)/4*4+IFERROR(VALUE(LEFT(G33,1)),0)/4*20+IFERROR(VALUE(LEFT(G37,1)),0)/4*12+IFERROR(VALUE(LEFT(G40,1)),0)/4*12)</f>
        <v/>
      </c>
      <c r="H9" s="10">
        <f>IF(H14="","",IFERROR(VLOOKUP(H14,Lists!$B$2:$C$7,2,FALSE),0)+IFERROR(VALUE(LEFT(H20,1)),0)/4*4+IFERROR(VALUE(LEFT(H21,1)),0)/4*4+IFERROR(VALUE(LEFT(H22,1)),0)/4*4+IFERROR(VALUE(LEFT(H24,1)),0)/4*4+IFERROR(VALUE(LEFT(H25,1)),0)/4*4+IFERROR(VALUE(LEFT(H26,1)),0)/4*4+IFERROR(VALUE(LEFT(H28,1)),0)/4*4+IFERROR(VALUE(LEFT(H29,1)),0)/4*4+IFERROR(VALUE(LEFT(H30,1)),0)/4*4+IFERROR(VALUE(LEFT(H33,1)),0)/4*20+IFERROR(VALUE(LEFT(H37,1)),0)/4*12+IFERROR(VALUE(LEFT(H40,1)),0)/4*12)</f>
        <v/>
      </c>
      <c r="I9" s="10">
        <f>IF(I14="","",IFERROR(VLOOKUP(I14,Lists!$B$2:$C$7,2,FALSE),0)+IFERROR(VALUE(LEFT(I20,1)),0)/4*4+IFERROR(VALUE(LEFT(I21,1)),0)/4*4+IFERROR(VALUE(LEFT(I22,1)),0)/4*4+IFERROR(VALUE(LEFT(I24,1)),0)/4*4+IFERROR(VALUE(LEFT(I25,1)),0)/4*4+IFERROR(VALUE(LEFT(I26,1)),0)/4*4+IFERROR(VALUE(LEFT(I28,1)),0)/4*4+IFERROR(VALUE(LEFT(I29,1)),0)/4*4+IFERROR(VALUE(LEFT(I30,1)),0)/4*4+IFERROR(VALUE(LEFT(I33,1)),0)/4*20+IFERROR(VALUE(LEFT(I37,1)),0)/4*12+IFERROR(VALUE(LEFT(I40,1)),0)/4*12)</f>
        <v/>
      </c>
      <c r="J9" s="10">
        <f>IF(J14="","",IFERROR(VLOOKUP(J14,Lists!$B$2:$C$7,2,FALSE),0)+IFERROR(VALUE(LEFT(J20,1)),0)/4*4+IFERROR(VALUE(LEFT(J21,1)),0)/4*4+IFERROR(VALUE(LEFT(J22,1)),0)/4*4+IFERROR(VALUE(LEFT(J24,1)),0)/4*4+IFERROR(VALUE(LEFT(J25,1)),0)/4*4+IFERROR(VALUE(LEFT(J26,1)),0)/4*4+IFERROR(VALUE(LEFT(J28,1)),0)/4*4+IFERROR(VALUE(LEFT(J29,1)),0)/4*4+IFERROR(VALUE(LEFT(J30,1)),0)/4*4+IFERROR(VALUE(LEFT(J33,1)),0)/4*20+IFERROR(VALUE(LEFT(J37,1)),0)/4*12+IFERROR(VALUE(LEFT(J40,1)),0)/4*12)</f>
        <v/>
      </c>
      <c r="K9" s="10">
        <f>IF(K14="","",IFERROR(VLOOKUP(K14,Lists!$B$2:$C$7,2,FALSE),0)+IFERROR(VALUE(LEFT(K20,1)),0)/4*4+IFERROR(VALUE(LEFT(K21,1)),0)/4*4+IFERROR(VALUE(LEFT(K22,1)),0)/4*4+IFERROR(VALUE(LEFT(K24,1)),0)/4*4+IFERROR(VALUE(LEFT(K25,1)),0)/4*4+IFERROR(VALUE(LEFT(K26,1)),0)/4*4+IFERROR(VALUE(LEFT(K28,1)),0)/4*4+IFERROR(VALUE(LEFT(K29,1)),0)/4*4+IFERROR(VALUE(LEFT(K30,1)),0)/4*4+IFERROR(VALUE(LEFT(K33,1)),0)/4*20+IFERROR(VALUE(LEFT(K37,1)),0)/4*12+IFERROR(VALUE(LEFT(K40,1)),0)/4*12)</f>
        <v/>
      </c>
      <c r="L9" s="10">
        <f>IF(L14="","",IFERROR(VLOOKUP(L14,Lists!$B$2:$C$7,2,FALSE),0)+IFERROR(VALUE(LEFT(L20,1)),0)/4*4+IFERROR(VALUE(LEFT(L21,1)),0)/4*4+IFERROR(VALUE(LEFT(L22,1)),0)/4*4+IFERROR(VALUE(LEFT(L24,1)),0)/4*4+IFERROR(VALUE(LEFT(L25,1)),0)/4*4+IFERROR(VALUE(LEFT(L26,1)),0)/4*4+IFERROR(VALUE(LEFT(L28,1)),0)/4*4+IFERROR(VALUE(LEFT(L29,1)),0)/4*4+IFERROR(VALUE(LEFT(L30,1)),0)/4*4+IFERROR(VALUE(LEFT(L33,1)),0)/4*20+IFERROR(VALUE(LEFT(L37,1)),0)/4*12+IFERROR(VALUE(LEFT(L40,1)),0)/4*12)</f>
        <v/>
      </c>
      <c r="M9" s="10">
        <f>IF(M14="","",IFERROR(VLOOKUP(M14,Lists!$B$2:$C$7,2,FALSE),0)+IFERROR(VALUE(LEFT(M20,1)),0)/4*4+IFERROR(VALUE(LEFT(M21,1)),0)/4*4+IFERROR(VALUE(LEFT(M22,1)),0)/4*4+IFERROR(VALUE(LEFT(M24,1)),0)/4*4+IFERROR(VALUE(LEFT(M25,1)),0)/4*4+IFERROR(VALUE(LEFT(M26,1)),0)/4*4+IFERROR(VALUE(LEFT(M28,1)),0)/4*4+IFERROR(VALUE(LEFT(M29,1)),0)/4*4+IFERROR(VALUE(LEFT(M30,1)),0)/4*4+IFERROR(VALUE(LEFT(M33,1)),0)/4*20+IFERROR(VALUE(LEFT(M37,1)),0)/4*12+IFERROR(VALUE(LEFT(M40,1)),0)/4*12)</f>
        <v/>
      </c>
      <c r="N9" s="10">
        <f>IF(N14="","",IFERROR(VLOOKUP(N14,Lists!$B$2:$C$7,2,FALSE),0)+IFERROR(VALUE(LEFT(N20,1)),0)/4*4+IFERROR(VALUE(LEFT(N21,1)),0)/4*4+IFERROR(VALUE(LEFT(N22,1)),0)/4*4+IFERROR(VALUE(LEFT(N24,1)),0)/4*4+IFERROR(VALUE(LEFT(N25,1)),0)/4*4+IFERROR(VALUE(LEFT(N26,1)),0)/4*4+IFERROR(VALUE(LEFT(N28,1)),0)/4*4+IFERROR(VALUE(LEFT(N29,1)),0)/4*4+IFERROR(VALUE(LEFT(N30,1)),0)/4*4+IFERROR(VALUE(LEFT(N33,1)),0)/4*20+IFERROR(VALUE(LEFT(N37,1)),0)/4*12+IFERROR(VALUE(LEFT(N40,1)),0)/4*12)</f>
        <v/>
      </c>
      <c r="O9" s="10">
        <f>IF(O14="","",IFERROR(VLOOKUP(O14,Lists!$B$2:$C$7,2,FALSE),0)+IFERROR(VALUE(LEFT(O20,1)),0)/4*4+IFERROR(VALUE(LEFT(O21,1)),0)/4*4+IFERROR(VALUE(LEFT(O22,1)),0)/4*4+IFERROR(VALUE(LEFT(O24,1)),0)/4*4+IFERROR(VALUE(LEFT(O25,1)),0)/4*4+IFERROR(VALUE(LEFT(O26,1)),0)/4*4+IFERROR(VALUE(LEFT(O28,1)),0)/4*4+IFERROR(VALUE(LEFT(O29,1)),0)/4*4+IFERROR(VALUE(LEFT(O30,1)),0)/4*4+IFERROR(VALUE(LEFT(O33,1)),0)/4*20+IFERROR(VALUE(LEFT(O37,1)),0)/4*12+IFERROR(VALUE(LEFT(O40,1)),0)/4*12)</f>
        <v/>
      </c>
      <c r="P9" s="10">
        <f>IF(P14="","",IFERROR(VLOOKUP(P14,Lists!$B$2:$C$7,2,FALSE),0)+IFERROR(VALUE(LEFT(P20,1)),0)/4*4+IFERROR(VALUE(LEFT(P21,1)),0)/4*4+IFERROR(VALUE(LEFT(P22,1)),0)/4*4+IFERROR(VALUE(LEFT(P24,1)),0)/4*4+IFERROR(VALUE(LEFT(P25,1)),0)/4*4+IFERROR(VALUE(LEFT(P26,1)),0)/4*4+IFERROR(VALUE(LEFT(P28,1)),0)/4*4+IFERROR(VALUE(LEFT(P29,1)),0)/4*4+IFERROR(VALUE(LEFT(P30,1)),0)/4*4+IFERROR(VALUE(LEFT(P33,1)),0)/4*20+IFERROR(VALUE(LEFT(P37,1)),0)/4*12+IFERROR(VALUE(LEFT(P40,1)),0)/4*12)</f>
        <v/>
      </c>
      <c r="Q9" s="10">
        <f>IF(Q14="","",IFERROR(VLOOKUP(Q14,Lists!$B$2:$C$7,2,FALSE),0)+IFERROR(VALUE(LEFT(Q20,1)),0)/4*4+IFERROR(VALUE(LEFT(Q21,1)),0)/4*4+IFERROR(VALUE(LEFT(Q22,1)),0)/4*4+IFERROR(VALUE(LEFT(Q24,1)),0)/4*4+IFERROR(VALUE(LEFT(Q25,1)),0)/4*4+IFERROR(VALUE(LEFT(Q26,1)),0)/4*4+IFERROR(VALUE(LEFT(Q28,1)),0)/4*4+IFERROR(VALUE(LEFT(Q29,1)),0)/4*4+IFERROR(VALUE(LEFT(Q30,1)),0)/4*4+IFERROR(VALUE(LEFT(Q33,1)),0)/4*20+IFERROR(VALUE(LEFT(Q37,1)),0)/4*12+IFERROR(VALUE(LEFT(Q40,1)),0)/4*12)</f>
        <v/>
      </c>
      <c r="R9" s="10">
        <f>IF(R14="","",IFERROR(VLOOKUP(R14,Lists!$B$2:$C$7,2,FALSE),0)+IFERROR(VALUE(LEFT(R20,1)),0)/4*4+IFERROR(VALUE(LEFT(R21,1)),0)/4*4+IFERROR(VALUE(LEFT(R22,1)),0)/4*4+IFERROR(VALUE(LEFT(R24,1)),0)/4*4+IFERROR(VALUE(LEFT(R25,1)),0)/4*4+IFERROR(VALUE(LEFT(R26,1)),0)/4*4+IFERROR(VALUE(LEFT(R28,1)),0)/4*4+IFERROR(VALUE(LEFT(R29,1)),0)/4*4+IFERROR(VALUE(LEFT(R30,1)),0)/4*4+IFERROR(VALUE(LEFT(R33,1)),0)/4*20+IFERROR(VALUE(LEFT(R37,1)),0)/4*12+IFERROR(VALUE(LEFT(R40,1)),0)/4*12)</f>
        <v/>
      </c>
      <c r="S9" s="10">
        <f>IF(S14="","",IFERROR(VLOOKUP(S14,Lists!$B$2:$C$7,2,FALSE),0)+IFERROR(VALUE(LEFT(S20,1)),0)/4*4+IFERROR(VALUE(LEFT(S21,1)),0)/4*4+IFERROR(VALUE(LEFT(S22,1)),0)/4*4+IFERROR(VALUE(LEFT(S24,1)),0)/4*4+IFERROR(VALUE(LEFT(S25,1)),0)/4*4+IFERROR(VALUE(LEFT(S26,1)),0)/4*4+IFERROR(VALUE(LEFT(S28,1)),0)/4*4+IFERROR(VALUE(LEFT(S29,1)),0)/4*4+IFERROR(VALUE(LEFT(S30,1)),0)/4*4+IFERROR(VALUE(LEFT(S33,1)),0)/4*20+IFERROR(VALUE(LEFT(S37,1)),0)/4*12+IFERROR(VALUE(LEFT(S40,1)),0)/4*12)</f>
        <v/>
      </c>
      <c r="T9" s="10">
        <f>IF(T14="","",IFERROR(VLOOKUP(T14,Lists!$B$2:$C$7,2,FALSE),0)+IFERROR(VALUE(LEFT(T20,1)),0)/4*4+IFERROR(VALUE(LEFT(T21,1)),0)/4*4+IFERROR(VALUE(LEFT(T22,1)),0)/4*4+IFERROR(VALUE(LEFT(T24,1)),0)/4*4+IFERROR(VALUE(LEFT(T25,1)),0)/4*4+IFERROR(VALUE(LEFT(T26,1)),0)/4*4+IFERROR(VALUE(LEFT(T28,1)),0)/4*4+IFERROR(VALUE(LEFT(T29,1)),0)/4*4+IFERROR(VALUE(LEFT(T30,1)),0)/4*4+IFERROR(VALUE(LEFT(T33,1)),0)/4*20+IFERROR(VALUE(LEFT(T37,1)),0)/4*12+IFERROR(VALUE(LEFT(T40,1)),0)/4*12)</f>
        <v/>
      </c>
      <c r="U9" s="10">
        <f>IF(U14="","",IFERROR(VLOOKUP(U14,Lists!$B$2:$C$7,2,FALSE),0)+IFERROR(VALUE(LEFT(U20,1)),0)/4*4+IFERROR(VALUE(LEFT(U21,1)),0)/4*4+IFERROR(VALUE(LEFT(U22,1)),0)/4*4+IFERROR(VALUE(LEFT(U24,1)),0)/4*4+IFERROR(VALUE(LEFT(U25,1)),0)/4*4+IFERROR(VALUE(LEFT(U26,1)),0)/4*4+IFERROR(VALUE(LEFT(U28,1)),0)/4*4+IFERROR(VALUE(LEFT(U29,1)),0)/4*4+IFERROR(VALUE(LEFT(U30,1)),0)/4*4+IFERROR(VALUE(LEFT(U33,1)),0)/4*20+IFERROR(VALUE(LEFT(U37,1)),0)/4*12+IFERROR(VALUE(LEFT(U40,1)),0)/4*12)</f>
        <v/>
      </c>
    </row>
    <row r="10">
      <c r="B10" s="11" t="inlineStr">
        <is>
          <t>Band</t>
        </is>
      </c>
      <c r="C10" s="9" t="inlineStr">
        <is>
          <t>80 Advance · 65 Consider · 50 Hold</t>
        </is>
      </c>
      <c r="F10" s="12">
        <f>IF(F14="","",IF(IFERROR(VLOOKUP(F14,Lists!$B$2:$C$7,2,FALSE),0)&lt;12,"Conditional — ","")&amp;IF(F9&gt;=80,"Advance",IF(F9&gt;=65,"Consider",IF(F9&gt;=50,"Hold","Decline"))))</f>
        <v/>
      </c>
      <c r="G10" s="12">
        <f>IF(G14="","",IF(IFERROR(VLOOKUP(G14,Lists!$B$2:$C$7,2,FALSE),0)&lt;12,"Conditional — ","")&amp;IF(G9&gt;=80,"Advance",IF(G9&gt;=65,"Consider",IF(G9&gt;=50,"Hold","Decline"))))</f>
        <v/>
      </c>
      <c r="H10" s="12">
        <f>IF(H14="","",IF(IFERROR(VLOOKUP(H14,Lists!$B$2:$C$7,2,FALSE),0)&lt;12,"Conditional — ","")&amp;IF(H9&gt;=80,"Advance",IF(H9&gt;=65,"Consider",IF(H9&gt;=50,"Hold","Decline"))))</f>
        <v/>
      </c>
      <c r="I10" s="12">
        <f>IF(I14="","",IF(IFERROR(VLOOKUP(I14,Lists!$B$2:$C$7,2,FALSE),0)&lt;12,"Conditional — ","")&amp;IF(I9&gt;=80,"Advance",IF(I9&gt;=65,"Consider",IF(I9&gt;=50,"Hold","Decline"))))</f>
        <v/>
      </c>
      <c r="J10" s="12">
        <f>IF(J14="","",IF(IFERROR(VLOOKUP(J14,Lists!$B$2:$C$7,2,FALSE),0)&lt;12,"Conditional — ","")&amp;IF(J9&gt;=80,"Advance",IF(J9&gt;=65,"Consider",IF(J9&gt;=50,"Hold","Decline"))))</f>
        <v/>
      </c>
      <c r="K10" s="12">
        <f>IF(K14="","",IF(IFERROR(VLOOKUP(K14,Lists!$B$2:$C$7,2,FALSE),0)&lt;12,"Conditional — ","")&amp;IF(K9&gt;=80,"Advance",IF(K9&gt;=65,"Consider",IF(K9&gt;=50,"Hold","Decline"))))</f>
        <v/>
      </c>
      <c r="L10" s="12">
        <f>IF(L14="","",IF(IFERROR(VLOOKUP(L14,Lists!$B$2:$C$7,2,FALSE),0)&lt;12,"Conditional — ","")&amp;IF(L9&gt;=80,"Advance",IF(L9&gt;=65,"Consider",IF(L9&gt;=50,"Hold","Decline"))))</f>
        <v/>
      </c>
      <c r="M10" s="12">
        <f>IF(M14="","",IF(IFERROR(VLOOKUP(M14,Lists!$B$2:$C$7,2,FALSE),0)&lt;12,"Conditional — ","")&amp;IF(M9&gt;=80,"Advance",IF(M9&gt;=65,"Consider",IF(M9&gt;=50,"Hold","Decline"))))</f>
        <v/>
      </c>
      <c r="N10" s="12">
        <f>IF(N14="","",IF(IFERROR(VLOOKUP(N14,Lists!$B$2:$C$7,2,FALSE),0)&lt;12,"Conditional — ","")&amp;IF(N9&gt;=80,"Advance",IF(N9&gt;=65,"Consider",IF(N9&gt;=50,"Hold","Decline"))))</f>
        <v/>
      </c>
      <c r="O10" s="12">
        <f>IF(O14="","",IF(IFERROR(VLOOKUP(O14,Lists!$B$2:$C$7,2,FALSE),0)&lt;12,"Conditional — ","")&amp;IF(O9&gt;=80,"Advance",IF(O9&gt;=65,"Consider",IF(O9&gt;=50,"Hold","Decline"))))</f>
        <v/>
      </c>
      <c r="P10" s="12">
        <f>IF(P14="","",IF(IFERROR(VLOOKUP(P14,Lists!$B$2:$C$7,2,FALSE),0)&lt;12,"Conditional — ","")&amp;IF(P9&gt;=80,"Advance",IF(P9&gt;=65,"Consider",IF(P9&gt;=50,"Hold","Decline"))))</f>
        <v/>
      </c>
      <c r="Q10" s="12">
        <f>IF(Q14="","",IF(IFERROR(VLOOKUP(Q14,Lists!$B$2:$C$7,2,FALSE),0)&lt;12,"Conditional — ","")&amp;IF(Q9&gt;=80,"Advance",IF(Q9&gt;=65,"Consider",IF(Q9&gt;=50,"Hold","Decline"))))</f>
        <v/>
      </c>
      <c r="R10" s="12">
        <f>IF(R14="","",IF(IFERROR(VLOOKUP(R14,Lists!$B$2:$C$7,2,FALSE),0)&lt;12,"Conditional — ","")&amp;IF(R9&gt;=80,"Advance",IF(R9&gt;=65,"Consider",IF(R9&gt;=50,"Hold","Decline"))))</f>
        <v/>
      </c>
      <c r="S10" s="12">
        <f>IF(S14="","",IF(IFERROR(VLOOKUP(S14,Lists!$B$2:$C$7,2,FALSE),0)&lt;12,"Conditional — ","")&amp;IF(S9&gt;=80,"Advance",IF(S9&gt;=65,"Consider",IF(S9&gt;=50,"Hold","Decline"))))</f>
        <v/>
      </c>
      <c r="T10" s="12">
        <f>IF(T14="","",IF(IFERROR(VLOOKUP(T14,Lists!$B$2:$C$7,2,FALSE),0)&lt;12,"Conditional — ","")&amp;IF(T9&gt;=80,"Advance",IF(T9&gt;=65,"Consider",IF(T9&gt;=50,"Hold","Decline"))))</f>
        <v/>
      </c>
      <c r="U10" s="12">
        <f>IF(U14="","",IF(IFERROR(VLOOKUP(U14,Lists!$B$2:$C$7,2,FALSE),0)&lt;12,"Conditional — ","")&amp;IF(U9&gt;=80,"Advance",IF(U9&gt;=65,"Consider",IF(U9&gt;=50,"Hold","Decline"))))</f>
        <v/>
      </c>
    </row>
    <row r="11">
      <c r="B11" s="13" t="inlineStr">
        <is>
          <t>Flags</t>
        </is>
      </c>
      <c r="C11" s="9" t="inlineStr">
        <is>
          <t>stop-checks raised, of three</t>
        </is>
      </c>
      <c r="F11" s="14">
        <f>IF(F14="","",IF(F15="STOP-CHECK",1,0)+IF(F16="STOP-CHECK",1,0)+IF(F34="STOP-CHECK",1,0))</f>
        <v/>
      </c>
      <c r="G11" s="14">
        <f>IF(G14="","",IF(G15="STOP-CHECK",1,0)+IF(G16="STOP-CHECK",1,0)+IF(G34="STOP-CHECK",1,0))</f>
        <v/>
      </c>
      <c r="H11" s="14">
        <f>IF(H14="","",IF(H15="STOP-CHECK",1,0)+IF(H16="STOP-CHECK",1,0)+IF(H34="STOP-CHECK",1,0))</f>
        <v/>
      </c>
      <c r="I11" s="14">
        <f>IF(I14="","",IF(I15="STOP-CHECK",1,0)+IF(I16="STOP-CHECK",1,0)+IF(I34="STOP-CHECK",1,0))</f>
        <v/>
      </c>
      <c r="J11" s="14">
        <f>IF(J14="","",IF(J15="STOP-CHECK",1,0)+IF(J16="STOP-CHECK",1,0)+IF(J34="STOP-CHECK",1,0))</f>
        <v/>
      </c>
      <c r="K11" s="14">
        <f>IF(K14="","",IF(K15="STOP-CHECK",1,0)+IF(K16="STOP-CHECK",1,0)+IF(K34="STOP-CHECK",1,0))</f>
        <v/>
      </c>
      <c r="L11" s="14">
        <f>IF(L14="","",IF(L15="STOP-CHECK",1,0)+IF(L16="STOP-CHECK",1,0)+IF(L34="STOP-CHECK",1,0))</f>
        <v/>
      </c>
      <c r="M11" s="14">
        <f>IF(M14="","",IF(M15="STOP-CHECK",1,0)+IF(M16="STOP-CHECK",1,0)+IF(M34="STOP-CHECK",1,0))</f>
        <v/>
      </c>
      <c r="N11" s="14">
        <f>IF(N14="","",IF(N15="STOP-CHECK",1,0)+IF(N16="STOP-CHECK",1,0)+IF(N34="STOP-CHECK",1,0))</f>
        <v/>
      </c>
      <c r="O11" s="14">
        <f>IF(O14="","",IF(O15="STOP-CHECK",1,0)+IF(O16="STOP-CHECK",1,0)+IF(O34="STOP-CHECK",1,0))</f>
        <v/>
      </c>
      <c r="P11" s="14">
        <f>IF(P14="","",IF(P15="STOP-CHECK",1,0)+IF(P16="STOP-CHECK",1,0)+IF(P34="STOP-CHECK",1,0))</f>
        <v/>
      </c>
      <c r="Q11" s="14">
        <f>IF(Q14="","",IF(Q15="STOP-CHECK",1,0)+IF(Q16="STOP-CHECK",1,0)+IF(Q34="STOP-CHECK",1,0))</f>
        <v/>
      </c>
      <c r="R11" s="14">
        <f>IF(R14="","",IF(R15="STOP-CHECK",1,0)+IF(R16="STOP-CHECK",1,0)+IF(R34="STOP-CHECK",1,0))</f>
        <v/>
      </c>
      <c r="S11" s="14">
        <f>IF(S14="","",IF(S15="STOP-CHECK",1,0)+IF(S16="STOP-CHECK",1,0)+IF(S34="STOP-CHECK",1,0))</f>
        <v/>
      </c>
      <c r="T11" s="14">
        <f>IF(T14="","",IF(T15="STOP-CHECK",1,0)+IF(T16="STOP-CHECK",1,0)+IF(T34="STOP-CHECK",1,0))</f>
        <v/>
      </c>
      <c r="U11" s="14">
        <f>IF(U14="","",IF(U15="STOP-CHECK",1,0)+IF(U16="STOP-CHECK",1,0)+IF(U34="STOP-CHECK",1,0))</f>
        <v/>
      </c>
    </row>
    <row r="13" ht="21" customHeight="1">
      <c r="B13" s="7" t="inlineStr">
        <is>
          <t>A  ·  COMPANY AND PRODUCT</t>
        </is>
      </c>
    </row>
    <row r="14" ht="24" customHeight="1">
      <c r="B14" s="15" t="inlineStr">
        <is>
          <t>A1</t>
        </is>
      </c>
      <c r="C14" s="16" t="inlineStr">
        <is>
          <t>Home Care Home Base integration</t>
        </is>
      </c>
      <c r="D14" s="9" t="inlineStr">
        <is>
          <t>Pick the line that matches their answer</t>
        </is>
      </c>
      <c r="E14" s="15" t="n">
        <v>20</v>
      </c>
      <c r="F14" s="17" t="inlineStr">
        <is>
          <t>Live — established customer base</t>
        </is>
      </c>
      <c r="G14" s="17" t="inlineStr">
        <is>
          <t>Live — small customer base</t>
        </is>
      </c>
      <c r="H14" s="17" t="inlineStr">
        <is>
          <t>In development — with a date</t>
        </is>
      </c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</row>
    <row r="15" ht="19" customHeight="1">
      <c r="B15" s="18" t="inlineStr">
        <is>
          <t>A2</t>
        </is>
      </c>
      <c r="C15" s="16" t="inlineStr">
        <is>
          <t>Customers, scale and references</t>
        </is>
      </c>
      <c r="D15" s="9" t="inlineStr">
        <is>
          <t>Stop-check if one customer, or no references offered</t>
        </is>
      </c>
      <c r="E15" s="19" t="inlineStr">
        <is>
          <t>—</t>
        </is>
      </c>
      <c r="F15" s="20" t="inlineStr">
        <is>
          <t>OK</t>
        </is>
      </c>
      <c r="G15" s="20" t="inlineStr">
        <is>
          <t>STOP-CHECK</t>
        </is>
      </c>
      <c r="H15" s="20" t="inlineStr">
        <is>
          <t>OK</t>
        </is>
      </c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</row>
    <row r="16" ht="19" customHeight="1">
      <c r="B16" s="18" t="inlineStr">
        <is>
          <t>A3</t>
        </is>
      </c>
      <c r="C16" s="16" t="inlineStr">
        <is>
          <t>Measured impact</t>
        </is>
      </c>
      <c r="D16" s="9" t="inlineStr">
        <is>
          <t>Watch if claimed with no baseline or period</t>
        </is>
      </c>
      <c r="E16" s="19" t="inlineStr">
        <is>
          <t>—</t>
        </is>
      </c>
      <c r="F16" s="20" t="inlineStr">
        <is>
          <t>Watch</t>
        </is>
      </c>
      <c r="G16" s="20" t="inlineStr">
        <is>
          <t>Watch</t>
        </is>
      </c>
      <c r="H16" s="20" t="inlineStr">
        <is>
          <t>OK</t>
        </is>
      </c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</row>
    <row r="18" ht="21" customHeight="1">
      <c r="B18" s="7" t="inlineStr">
        <is>
          <t>B  ·  COVERAGE SELF-ASSESSMENT   —   how much of our scope they cover</t>
        </is>
      </c>
    </row>
    <row r="19" ht="17" customHeight="1">
      <c r="B19" s="21" t="inlineStr">
        <is>
          <t>CAPACITY   —   three marks, 12 points</t>
        </is>
      </c>
    </row>
    <row r="20" ht="22" customHeight="1">
      <c r="B20" s="22" t="inlineStr">
        <is>
          <t>Section B</t>
        </is>
      </c>
      <c r="C20" s="16" t="inlineStr">
        <is>
          <t>Workforce supply</t>
        </is>
      </c>
      <c r="D20" s="9" t="inlineStr">
        <is>
          <t>Roster, disciplines, roles, competencies, ramp, float pool</t>
        </is>
      </c>
      <c r="E20" s="22" t="n">
        <v>4</v>
      </c>
      <c r="F20" s="23" t="inlineStr">
        <is>
          <t>4 — Most of it</t>
        </is>
      </c>
      <c r="G20" s="23" t="inlineStr">
        <is>
          <t>2 — About half</t>
        </is>
      </c>
      <c r="H20" s="23" t="inlineStr">
        <is>
          <t>2 — About half</t>
        </is>
      </c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</row>
    <row r="21" ht="22" customHeight="1">
      <c r="B21" s="22" t="inlineStr">
        <is>
          <t>Section B</t>
        </is>
      </c>
      <c r="C21" s="16" t="inlineStr">
        <is>
          <t>Availability &amp; reach</t>
        </is>
      </c>
      <c r="D21" s="9" t="inlineStr">
        <is>
          <t>Availability and time off, territory, drive-time reachability</t>
        </is>
      </c>
      <c r="E21" s="22" t="n">
        <v>4</v>
      </c>
      <c r="F21" s="23" t="inlineStr">
        <is>
          <t>3 — More than half</t>
        </is>
      </c>
      <c r="G21" s="23" t="inlineStr">
        <is>
          <t>1 — A corner of it</t>
        </is>
      </c>
      <c r="H21" s="23" t="inlineStr">
        <is>
          <t>2 — About half</t>
        </is>
      </c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3" t="n"/>
      <c r="S21" s="23" t="n"/>
      <c r="T21" s="23" t="n"/>
      <c r="U21" s="23" t="n"/>
    </row>
    <row r="22" ht="22" customHeight="1">
      <c r="B22" s="22" t="inlineStr">
        <is>
          <t>Section B</t>
        </is>
      </c>
      <c r="C22" s="16" t="inlineStr">
        <is>
          <t>The capacity math</t>
        </is>
      </c>
      <c r="D22" s="9" t="inlineStr">
        <is>
          <t>Visit weighting, targets and ceilings, committed load vs. open room</t>
        </is>
      </c>
      <c r="E22" s="22" t="n">
        <v>4</v>
      </c>
      <c r="F22" s="23" t="inlineStr">
        <is>
          <t>4 — Most of it</t>
        </is>
      </c>
      <c r="G22" s="23" t="inlineStr">
        <is>
          <t>1 — A corner of it</t>
        </is>
      </c>
      <c r="H22" s="23" t="inlineStr">
        <is>
          <t>3 — More than half</t>
        </is>
      </c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3" t="n"/>
      <c r="S22" s="23" t="n"/>
      <c r="T22" s="23" t="n"/>
      <c r="U22" s="23" t="n"/>
    </row>
    <row r="23" ht="17" customHeight="1">
      <c r="B23" s="24" t="inlineStr">
        <is>
          <t>SCHEDULING   —   three marks, 12 points</t>
        </is>
      </c>
    </row>
    <row r="24" ht="22" customHeight="1">
      <c r="B24" s="25" t="inlineStr">
        <is>
          <t>Section B</t>
        </is>
      </c>
      <c r="C24" s="16" t="inlineStr">
        <is>
          <t>Demand &amp; matching</t>
        </is>
      </c>
      <c r="D24" s="9" t="inlineStr">
        <is>
          <t>Ordered visits, authorization, readiness — and who fits them</t>
        </is>
      </c>
      <c r="E24" s="25" t="n">
        <v>4</v>
      </c>
      <c r="F24" s="23" t="inlineStr">
        <is>
          <t>4 — Most of it</t>
        </is>
      </c>
      <c r="G24" s="23" t="inlineStr">
        <is>
          <t>3 — More than half</t>
        </is>
      </c>
      <c r="H24" s="23" t="inlineStr">
        <is>
          <t>3 — More than half</t>
        </is>
      </c>
      <c r="I24" s="23" t="n"/>
      <c r="J24" s="23" t="n"/>
      <c r="K24" s="23" t="n"/>
      <c r="L24" s="23" t="n"/>
      <c r="M24" s="23" t="n"/>
      <c r="N24" s="23" t="n"/>
      <c r="O24" s="23" t="n"/>
      <c r="P24" s="23" t="n"/>
      <c r="Q24" s="23" t="n"/>
      <c r="R24" s="23" t="n"/>
      <c r="S24" s="23" t="n"/>
      <c r="T24" s="23" t="n"/>
      <c r="U24" s="23" t="n"/>
    </row>
    <row r="25" ht="22" customHeight="1">
      <c r="B25" s="25" t="inlineStr">
        <is>
          <t>Section B</t>
        </is>
      </c>
      <c r="C25" s="16" t="inlineStr">
        <is>
          <t>Routing &amp; the week</t>
        </is>
      </c>
      <c r="D25" s="9" t="inlineStr">
        <is>
          <t>Routing, sequencing, front-loading, week balancing</t>
        </is>
      </c>
      <c r="E25" s="25" t="n">
        <v>4</v>
      </c>
      <c r="F25" s="23" t="inlineStr">
        <is>
          <t>4 — Most of it</t>
        </is>
      </c>
      <c r="G25" s="23" t="inlineStr">
        <is>
          <t>4 — Most of it</t>
        </is>
      </c>
      <c r="H25" s="23" t="inlineStr">
        <is>
          <t>3 — More than half</t>
        </is>
      </c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3" t="n"/>
      <c r="S25" s="23" t="n"/>
      <c r="T25" s="23" t="n"/>
      <c r="U25" s="23" t="n"/>
    </row>
    <row r="26" ht="22" customHeight="1">
      <c r="B26" s="25" t="inlineStr">
        <is>
          <t>Section B</t>
        </is>
      </c>
      <c r="C26" s="16" t="inlineStr">
        <is>
          <t>Exceptions</t>
        </is>
      </c>
      <c r="D26" s="9" t="inlineStr">
        <is>
          <t>Missed visits, call-outs, reassignment, coverage, rebooking</t>
        </is>
      </c>
      <c r="E26" s="25" t="n">
        <v>4</v>
      </c>
      <c r="F26" s="23" t="inlineStr">
        <is>
          <t>3 — More than half</t>
        </is>
      </c>
      <c r="G26" s="23" t="inlineStr">
        <is>
          <t>2 — About half</t>
        </is>
      </c>
      <c r="H26" s="23" t="inlineStr">
        <is>
          <t>3 — More than half</t>
        </is>
      </c>
      <c r="I26" s="23" t="n"/>
      <c r="J26" s="23" t="n"/>
      <c r="K26" s="23" t="n"/>
      <c r="L26" s="23" t="n"/>
      <c r="M26" s="23" t="n"/>
      <c r="N26" s="23" t="n"/>
      <c r="O26" s="23" t="n"/>
      <c r="P26" s="23" t="n"/>
      <c r="Q26" s="23" t="n"/>
      <c r="R26" s="23" t="n"/>
      <c r="S26" s="23" t="n"/>
      <c r="T26" s="23" t="n"/>
      <c r="U26" s="23" t="n"/>
    </row>
    <row r="27" ht="17" customHeight="1">
      <c r="B27" s="26" t="inlineStr">
        <is>
          <t>ENGAGEMENT   —   three marks, 12 points</t>
        </is>
      </c>
    </row>
    <row r="28" ht="22" customHeight="1">
      <c r="B28" s="27" t="inlineStr">
        <is>
          <t>Section B</t>
        </is>
      </c>
      <c r="C28" s="16" t="inlineStr">
        <is>
          <t>Before the visit</t>
        </is>
      </c>
      <c r="D28" s="9" t="inlineStr">
        <is>
          <t>Welcome call, availability capture, reminders, confirmation, en-route</t>
        </is>
      </c>
      <c r="E28" s="27" t="n">
        <v>4</v>
      </c>
      <c r="F28" s="23" t="inlineStr">
        <is>
          <t>2 — About half</t>
        </is>
      </c>
      <c r="G28" s="23" t="inlineStr">
        <is>
          <t>1 — A corner of it</t>
        </is>
      </c>
      <c r="H28" s="23" t="inlineStr">
        <is>
          <t>3 — More than half</t>
        </is>
      </c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23" t="n"/>
      <c r="T28" s="23" t="n"/>
      <c r="U28" s="23" t="n"/>
    </row>
    <row r="29" ht="22" customHeight="1">
      <c r="B29" s="27" t="inlineStr">
        <is>
          <t>Section B</t>
        </is>
      </c>
      <c r="C29" s="16" t="inlineStr">
        <is>
          <t>When plans change</t>
        </is>
      </c>
      <c r="D29" s="9" t="inlineStr">
        <is>
          <t>Reschedule, coverage outreach, urgent same-day needs, incentives</t>
        </is>
      </c>
      <c r="E29" s="27" t="n">
        <v>4</v>
      </c>
      <c r="F29" s="23" t="inlineStr">
        <is>
          <t>2 — About half</t>
        </is>
      </c>
      <c r="G29" s="23" t="inlineStr">
        <is>
          <t>1 — A corner of it</t>
        </is>
      </c>
      <c r="H29" s="23" t="inlineStr">
        <is>
          <t>4 — Most of it</t>
        </is>
      </c>
      <c r="I29" s="23" t="n"/>
      <c r="J29" s="23" t="n"/>
      <c r="K29" s="23" t="n"/>
      <c r="L29" s="23" t="n"/>
      <c r="M29" s="23" t="n"/>
      <c r="N29" s="23" t="n"/>
      <c r="O29" s="23" t="n"/>
      <c r="P29" s="23" t="n"/>
      <c r="Q29" s="23" t="n"/>
      <c r="R29" s="23" t="n"/>
      <c r="S29" s="23" t="n"/>
      <c r="T29" s="23" t="n"/>
      <c r="U29" s="23" t="n"/>
    </row>
    <row r="30" ht="22" customHeight="1">
      <c r="B30" s="27" t="inlineStr">
        <is>
          <t>Section B</t>
        </is>
      </c>
      <c r="C30" s="16" t="inlineStr">
        <is>
          <t>Across the care team</t>
        </is>
      </c>
      <c r="D30" s="9" t="inlineStr">
        <is>
          <t>Multi-discipline coordination, clinician and office updates</t>
        </is>
      </c>
      <c r="E30" s="27" t="n">
        <v>4</v>
      </c>
      <c r="F30" s="23" t="inlineStr">
        <is>
          <t>1 — A corner of it</t>
        </is>
      </c>
      <c r="G30" s="23" t="inlineStr">
        <is>
          <t>0 — Nothing here</t>
        </is>
      </c>
      <c r="H30" s="23" t="inlineStr">
        <is>
          <t>2 — About half</t>
        </is>
      </c>
      <c r="I30" s="23" t="n"/>
      <c r="J30" s="23" t="n"/>
      <c r="K30" s="23" t="n"/>
      <c r="L30" s="23" t="n"/>
      <c r="M30" s="23" t="n"/>
      <c r="N30" s="23" t="n"/>
      <c r="O30" s="23" t="n"/>
      <c r="P30" s="23" t="n"/>
      <c r="Q30" s="23" t="n"/>
      <c r="R30" s="23" t="n"/>
      <c r="S30" s="23" t="n"/>
      <c r="T30" s="23" t="n"/>
      <c r="U30" s="23" t="n"/>
    </row>
    <row r="32" ht="21" customHeight="1">
      <c r="B32" s="7" t="inlineStr">
        <is>
          <t>C  ·  HOW YOUR PRODUCT WORKS</t>
        </is>
      </c>
    </row>
    <row r="33" ht="24" customHeight="1">
      <c r="B33" s="28" t="inlineStr">
        <is>
          <t>Section C</t>
        </is>
      </c>
      <c r="C33" s="16" t="inlineStr">
        <is>
          <t>Sophistication</t>
        </is>
      </c>
      <c r="D33" s="9" t="inlineStr">
        <is>
          <t>How much of the work the product does</t>
        </is>
      </c>
      <c r="E33" s="28" t="n">
        <v>20</v>
      </c>
      <c r="F33" s="23" t="inlineStr">
        <is>
          <t>4 — Runs it</t>
        </is>
      </c>
      <c r="G33" s="23" t="inlineStr">
        <is>
          <t>3 — Recommends it</t>
        </is>
      </c>
      <c r="H33" s="23" t="inlineStr">
        <is>
          <t>3 — Recommends it</t>
        </is>
      </c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</row>
    <row r="34" ht="19" customHeight="1">
      <c r="B34" s="18" t="inlineStr">
        <is>
          <t>C6</t>
        </is>
      </c>
      <c r="C34" s="16" t="inlineStr">
        <is>
          <t>When your product is down</t>
        </is>
      </c>
      <c r="D34" s="9" t="inlineStr">
        <is>
          <t>Stop-check if no uptime figure or contractual commitment</t>
        </is>
      </c>
      <c r="E34" s="19" t="inlineStr">
        <is>
          <t>—</t>
        </is>
      </c>
      <c r="F34" s="20" t="inlineStr">
        <is>
          <t>OK</t>
        </is>
      </c>
      <c r="G34" s="20" t="inlineStr">
        <is>
          <t>OK</t>
        </is>
      </c>
      <c r="H34" s="20" t="inlineStr">
        <is>
          <t>Watch</t>
        </is>
      </c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</row>
    <row r="36" ht="21" customHeight="1">
      <c r="B36" s="7" t="inlineStr">
        <is>
          <t>D  ·  THE CLINICIAN'S PLACE IN THE MODEL</t>
        </is>
      </c>
    </row>
    <row r="37" ht="24" customHeight="1">
      <c r="B37" s="29" t="inlineStr">
        <is>
          <t>D1–D3</t>
        </is>
      </c>
      <c r="C37" s="16" t="inlineStr">
        <is>
          <t>Clinician fit</t>
        </is>
      </c>
      <c r="D37" s="9" t="inlineStr">
        <is>
          <t>Our own read of fit — no checklist, on purpose</t>
        </is>
      </c>
      <c r="E37" s="29" t="n">
        <v>12</v>
      </c>
      <c r="F37" s="23" t="inlineStr">
        <is>
          <t>3 — Good fit</t>
        </is>
      </c>
      <c r="G37" s="23" t="inlineStr">
        <is>
          <t>2 — Workable</t>
        </is>
      </c>
      <c r="H37" s="23" t="inlineStr">
        <is>
          <t>3 — Good fit</t>
        </is>
      </c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</row>
    <row r="39" ht="21" customHeight="1">
      <c r="B39" s="7" t="inlineStr">
        <is>
          <t>E  ·  FIT AND PARTNERSHIP</t>
        </is>
      </c>
    </row>
    <row r="40" ht="24" customHeight="1">
      <c r="B40" s="29" t="inlineStr">
        <is>
          <t>E1–E4</t>
        </is>
      </c>
      <c r="C40" s="16" t="inlineStr">
        <is>
          <t>Partnership</t>
        </is>
      </c>
      <c r="D40" s="9" t="inlineStr">
        <is>
          <t>Willing to build it with us, and open to a stake</t>
        </is>
      </c>
      <c r="E40" s="29" t="n">
        <v>12</v>
      </c>
      <c r="F40" s="23" t="inlineStr">
        <is>
          <t>3 — Ready to build to our needs as a design partner; ownership not addressed</t>
        </is>
      </c>
      <c r="G40" s="23" t="inlineStr">
        <is>
          <t>2 — Will take our input, but they own the roadmap and the product</t>
        </is>
      </c>
      <c r="H40" s="23" t="inlineStr">
        <is>
          <t>4 — Open to equity or a stake in what we build, and set up to build it with us</t>
        </is>
      </c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</row>
    <row r="42" ht="21" customHeight="1">
      <c r="B42" s="30" t="inlineStr">
        <is>
          <t>NOTES   —   one line each.  This is what we go and ask.</t>
        </is>
      </c>
    </row>
    <row r="43" ht="62" customHeight="1">
      <c r="B43" s="31" t="inlineStr"/>
      <c r="C43" s="32" t="inlineStr">
        <is>
          <t>What stands out</t>
        </is>
      </c>
      <c r="D43" s="33" t="inlineStr">
        <is>
          <t>against the field, or against our own thinking</t>
        </is>
      </c>
      <c r="E43" s="19" t="inlineStr">
        <is>
          <t>—</t>
        </is>
      </c>
      <c r="F43" s="34" t="inlineStr">
        <is>
          <t>Only answer that shows a branch leader the envelope impact of a referral before accepting it.</t>
        </is>
      </c>
      <c r="G43" s="34" t="inlineStr">
        <is>
          <t>Strong routing engine, almost nothing on the patient side.</t>
        </is>
      </c>
      <c r="H43" s="34" t="inlineStr">
        <is>
          <t>Raised payer-mix-aware sequencing — not on our one-pager, probably should be.</t>
        </is>
      </c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</row>
    <row r="44" ht="62" customHeight="1">
      <c r="B44" s="31" t="inlineStr"/>
      <c r="C44" s="32" t="inlineStr">
        <is>
          <t>What worries me</t>
        </is>
      </c>
      <c r="D44" s="33" t="inlineStr">
        <is>
          <t>including anything flagged above</t>
        </is>
      </c>
      <c r="E44" s="19" t="inlineStr">
        <is>
          <t>—</t>
        </is>
      </c>
      <c r="F44" s="34" t="inlineStr">
        <is>
          <t>Impact figures come from one site.</t>
        </is>
      </c>
      <c r="G44" s="34" t="inlineStr">
        <is>
          <t>One customer, references not offered.</t>
        </is>
      </c>
      <c r="H44" s="34" t="inlineStr">
        <is>
          <t>Integration is a promise on their timeline, not ours.</t>
        </is>
      </c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</row>
    <row r="45" ht="62" customHeight="1">
      <c r="B45" s="31" t="inlineStr"/>
      <c r="C45" s="32" t="inlineStr">
        <is>
          <t>What to go and ask</t>
        </is>
      </c>
      <c r="D45" s="33" t="inlineStr">
        <is>
          <t>the demo agenda</t>
        </is>
      </c>
      <c r="E45" s="19" t="inlineStr">
        <is>
          <t>—</t>
        </is>
      </c>
      <c r="F45" s="34" t="inlineStr">
        <is>
          <t>Would they discuss a stake? Never mentioned it.</t>
        </is>
      </c>
      <c r="G45" s="34" t="inlineStr">
        <is>
          <t>What does the day-before confirmation round cost in staff hours at our scale?</t>
        </is>
      </c>
      <c r="H45" s="34" t="inlineStr">
        <is>
          <t>What exactly is committed on the integration date, and by whom?</t>
        </is>
      </c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</row>
  </sheetData>
  <mergeCells count="11">
    <mergeCell ref="B23:U23"/>
    <mergeCell ref="B27:U27"/>
    <mergeCell ref="B8:U8"/>
    <mergeCell ref="B32:U32"/>
    <mergeCell ref="B4:U4"/>
    <mergeCell ref="B18:U18"/>
    <mergeCell ref="B13:U13"/>
    <mergeCell ref="B39:U39"/>
    <mergeCell ref="B42:U42"/>
    <mergeCell ref="B19:U19"/>
    <mergeCell ref="B36:U36"/>
  </mergeCells>
  <conditionalFormatting sqref="F9:U9">
    <cfRule type="colorScale" priority="1">
      <colorScale>
        <cfvo type="num" val="40"/>
        <cfvo type="num" val="65"/>
        <cfvo type="num" val="90"/>
        <color rgb="00F5E3E3"/>
        <color rgb="00FBF3DD"/>
        <color rgb="00DDEBE0"/>
      </colorScale>
    </cfRule>
  </conditionalFormatting>
  <conditionalFormatting sqref="F10:U10">
    <cfRule type="expression" priority="2" dxfId="0">
      <formula>ISNUMBER(SEARCH("Conditional",F10))</formula>
    </cfRule>
  </conditionalFormatting>
  <conditionalFormatting sqref="F11:U11">
    <cfRule type="expression" priority="3" dxfId="0">
      <formula>F11&gt;0</formula>
    </cfRule>
  </conditionalFormatting>
  <conditionalFormatting sqref="F15:U15">
    <cfRule type="expression" priority="4" dxfId="1">
      <formula>F15="STOP-CHECK"</formula>
    </cfRule>
  </conditionalFormatting>
  <conditionalFormatting sqref="F16:U16">
    <cfRule type="expression" priority="5" dxfId="1">
      <formula>F16="STOP-CHECK"</formula>
    </cfRule>
  </conditionalFormatting>
  <conditionalFormatting sqref="F34:U34">
    <cfRule type="expression" priority="6" dxfId="1">
      <formula>F34="STOP-CHECK"</formula>
    </cfRule>
  </conditionalFormatting>
  <conditionalFormatting sqref="F20:U20">
    <cfRule type="colorScale" priority="7">
      <colorScale>
        <cfvo type="num" val="0"/>
        <cfvo type="num" val="4"/>
        <color rgb="00FFFFFF"/>
        <color rgb="001F6F78"/>
      </colorScale>
    </cfRule>
  </conditionalFormatting>
  <conditionalFormatting sqref="F21:U21">
    <cfRule type="colorScale" priority="8">
      <colorScale>
        <cfvo type="num" val="0"/>
        <cfvo type="num" val="4"/>
        <color rgb="00FFFFFF"/>
        <color rgb="001F6F78"/>
      </colorScale>
    </cfRule>
  </conditionalFormatting>
  <conditionalFormatting sqref="F22:U22">
    <cfRule type="colorScale" priority="9">
      <colorScale>
        <cfvo type="num" val="0"/>
        <cfvo type="num" val="4"/>
        <color rgb="00FFFFFF"/>
        <color rgb="001F6F78"/>
      </colorScale>
    </cfRule>
  </conditionalFormatting>
  <conditionalFormatting sqref="F24:U24">
    <cfRule type="colorScale" priority="10">
      <colorScale>
        <cfvo type="num" val="0"/>
        <cfvo type="num" val="4"/>
        <color rgb="00FFFFFF"/>
        <color rgb="002E599D"/>
      </colorScale>
    </cfRule>
  </conditionalFormatting>
  <conditionalFormatting sqref="F25:U25">
    <cfRule type="colorScale" priority="11">
      <colorScale>
        <cfvo type="num" val="0"/>
        <cfvo type="num" val="4"/>
        <color rgb="00FFFFFF"/>
        <color rgb="002E599D"/>
      </colorScale>
    </cfRule>
  </conditionalFormatting>
  <conditionalFormatting sqref="F26:U26">
    <cfRule type="colorScale" priority="12">
      <colorScale>
        <cfvo type="num" val="0"/>
        <cfvo type="num" val="4"/>
        <color rgb="00FFFFFF"/>
        <color rgb="002E599D"/>
      </colorScale>
    </cfRule>
  </conditionalFormatting>
  <conditionalFormatting sqref="F28:U28">
    <cfRule type="colorScale" priority="13">
      <colorScale>
        <cfvo type="num" val="0"/>
        <cfvo type="num" val="4"/>
        <color rgb="00FFFFFF"/>
        <color rgb="004E8A5B"/>
      </colorScale>
    </cfRule>
  </conditionalFormatting>
  <conditionalFormatting sqref="F29:U29">
    <cfRule type="colorScale" priority="14">
      <colorScale>
        <cfvo type="num" val="0"/>
        <cfvo type="num" val="4"/>
        <color rgb="00FFFFFF"/>
        <color rgb="004E8A5B"/>
      </colorScale>
    </cfRule>
  </conditionalFormatting>
  <conditionalFormatting sqref="F30:U30">
    <cfRule type="colorScale" priority="15">
      <colorScale>
        <cfvo type="num" val="0"/>
        <cfvo type="num" val="4"/>
        <color rgb="00FFFFFF"/>
        <color rgb="004E8A5B"/>
      </colorScale>
    </cfRule>
  </conditionalFormatting>
  <dataValidations count="6">
    <dataValidation sqref="F14:U14" showDropDown="0" showInputMessage="0" showErrorMessage="0" allowBlank="1" promptTitle="A1 — Home Care Home Base" prompt="Pick one line. Ambiguous? Take the lower one and say so in Notes." type="list">
      <formula1>=HCHB_List</formula1>
    </dataValidation>
    <dataValidation sqref="F20:U20 F21:U21 F22:U22 F24:U24 F25:U25 F26:U26 F28:U28 F29:U29 F30:U30" showDropDown="0" showInputMessage="0" showErrorMessage="0" allowBlank="1" promptTitle="Scope, 0–4" prompt="How much of this area they cover. The mark is the points: a 3 adds 3. Most of it is the ceiling — our spec is original." type="list">
      <formula1>=Scope_List</formula1>
    </dataValidation>
    <dataValidation sqref="F33:U33" showDropDown="0" showInputMessage="0" showErrorMessage="0" allowBlank="1" promptTitle="Sophistication, 0–4" prompt="1 shows it · 2 checks it · 3 recommends it · 4 runs it. Score what the product does, not how much they wrote about it." type="list">
      <formula1>=Soph_List</formula1>
    </dataValidation>
    <dataValidation sqref="F37:U37" showDropDown="0" showInputMessage="0" showErrorMessage="0" allowBlank="1" promptTitle="Clinician fit, 0–4" prompt="Read D1 to D3 and give it your own read of fit. There is no checklist here on purpose." type="list">
      <formula1>=Clin_List</formula1>
    </dataValidation>
    <dataValidation sqref="F40:U40" showDropDown="0" showInputMessage="0" showErrorMessage="0" allowBlank="1" promptTitle="Partnership, 0–4" prompt="Are they able and willing to build this with us, and open to us holding a stake in what a wider market might buy? A discount is a discount." type="list">
      <formula1>=Part_List</formula1>
    </dataValidation>
    <dataValidation sqref="F15:U15 F16:U16 F34:U34" showDropDown="0" showInputMessage="0" showErrorMessage="0" allowBlank="1" promptTitle="Flag" prompt="A stop-check is resolved before advancing, not traded against points." type="list">
      <formula1>"OK,Watch,STOP-CHECK"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B211E"/>
    <outlinePr summaryBelow="1" summaryRight="1"/>
    <pageSetUpPr/>
  </sheetPr>
  <dimension ref="B2:U45"/>
  <sheetViews>
    <sheetView showGridLines="0" zoomScale="90" workbookViewId="0">
      <pane xSplit="5" ySplit="6" topLeftCell="F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2" customWidth="1" min="2" max="2"/>
    <col width="32" customWidth="1" min="3" max="3"/>
    <col width="46" customWidth="1" min="4" max="4"/>
    <col width="8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" t="inlineStr">
        <is>
          <t>COMPASSUS  ·  HOME HEALTH</t>
        </is>
      </c>
    </row>
    <row r="3" ht="26" customHeight="1">
      <c r="B3" s="2" t="inlineStr">
        <is>
          <t>Vendor Scorecard — Fast</t>
        </is>
      </c>
    </row>
    <row r="4">
      <c r="B4" s="3" t="inlineStr">
        <is>
          <t>The rows are the questionnaire, in order. Seven take a mark; three raise a flag; the rest are notes. Grey cells are formulas.</t>
        </is>
      </c>
    </row>
    <row r="6" ht="42" customHeight="1">
      <c r="B6" s="4" t="inlineStr">
        <is>
          <t>VENDOR</t>
        </is>
      </c>
      <c r="E6" s="5" t="inlineStr">
        <is>
          <t>PTS</t>
        </is>
      </c>
      <c r="F6" s="6" t="inlineStr">
        <is>
          <t>Vendor 01</t>
        </is>
      </c>
      <c r="G6" s="6" t="inlineStr">
        <is>
          <t>Vendor 02</t>
        </is>
      </c>
      <c r="H6" s="6" t="inlineStr">
        <is>
          <t>Vendor 03</t>
        </is>
      </c>
      <c r="I6" s="6" t="inlineStr">
        <is>
          <t>Vendor 04</t>
        </is>
      </c>
      <c r="J6" s="6" t="inlineStr">
        <is>
          <t>Vendor 05</t>
        </is>
      </c>
      <c r="K6" s="6" t="inlineStr">
        <is>
          <t>Vendor 06</t>
        </is>
      </c>
      <c r="L6" s="6" t="inlineStr">
        <is>
          <t>Vendor 07</t>
        </is>
      </c>
      <c r="M6" s="6" t="inlineStr">
        <is>
          <t>Vendor 08</t>
        </is>
      </c>
      <c r="N6" s="6" t="inlineStr">
        <is>
          <t>Vendor 09</t>
        </is>
      </c>
      <c r="O6" s="6" t="inlineStr">
        <is>
          <t>Vendor 10</t>
        </is>
      </c>
      <c r="P6" s="6" t="inlineStr">
        <is>
          <t>Vendor 11</t>
        </is>
      </c>
      <c r="Q6" s="6" t="inlineStr">
        <is>
          <t>Vendor 12</t>
        </is>
      </c>
      <c r="R6" s="6" t="inlineStr">
        <is>
          <t>Vendor 13</t>
        </is>
      </c>
      <c r="S6" s="6" t="inlineStr">
        <is>
          <t>Vendor 14</t>
        </is>
      </c>
      <c r="T6" s="6" t="inlineStr">
        <is>
          <t>Vendor 15</t>
        </is>
      </c>
      <c r="U6" s="6" t="inlineStr">
        <is>
          <t>Vendor 16</t>
        </is>
      </c>
    </row>
    <row r="8" ht="21" customHeight="1">
      <c r="B8" s="7" t="inlineStr">
        <is>
          <t>SCORE</t>
        </is>
      </c>
    </row>
    <row r="9" ht="26" customHeight="1">
      <c r="B9" s="8" t="inlineStr">
        <is>
          <t>TOTAL</t>
        </is>
      </c>
      <c r="C9" s="9" t="inlineStr">
        <is>
          <t>of 100</t>
        </is>
      </c>
      <c r="F9" s="10">
        <f>IF(F14="","",IFERROR(VLOOKUP(F14,Lists!$B$2:$C$7,2,FALSE),0)+IFERROR(VALUE(LEFT(F20,1)),0)/4*4+IFERROR(VALUE(LEFT(F21,1)),0)/4*4+IFERROR(VALUE(LEFT(F22,1)),0)/4*4+IFERROR(VALUE(LEFT(F24,1)),0)/4*4+IFERROR(VALUE(LEFT(F25,1)),0)/4*4+IFERROR(VALUE(LEFT(F26,1)),0)/4*4+IFERROR(VALUE(LEFT(F28,1)),0)/4*4+IFERROR(VALUE(LEFT(F29,1)),0)/4*4+IFERROR(VALUE(LEFT(F30,1)),0)/4*4+IFERROR(VALUE(LEFT(F33,1)),0)/4*20+IFERROR(VALUE(LEFT(F37,1)),0)/4*12+IFERROR(VALUE(LEFT(F40,1)),0)/4*12)</f>
        <v/>
      </c>
      <c r="G9" s="10">
        <f>IF(G14="","",IFERROR(VLOOKUP(G14,Lists!$B$2:$C$7,2,FALSE),0)+IFERROR(VALUE(LEFT(G20,1)),0)/4*4+IFERROR(VALUE(LEFT(G21,1)),0)/4*4+IFERROR(VALUE(LEFT(G22,1)),0)/4*4+IFERROR(VALUE(LEFT(G24,1)),0)/4*4+IFERROR(VALUE(LEFT(G25,1)),0)/4*4+IFERROR(VALUE(LEFT(G26,1)),0)/4*4+IFERROR(VALUE(LEFT(G28,1)),0)/4*4+IFERROR(VALUE(LEFT(G29,1)),0)/4*4+IFERROR(VALUE(LEFT(G30,1)),0)/4*4+IFERROR(VALUE(LEFT(G33,1)),0)/4*20+IFERROR(VALUE(LEFT(G37,1)),0)/4*12+IFERROR(VALUE(LEFT(G40,1)),0)/4*12)</f>
        <v/>
      </c>
      <c r="H9" s="10">
        <f>IF(H14="","",IFERROR(VLOOKUP(H14,Lists!$B$2:$C$7,2,FALSE),0)+IFERROR(VALUE(LEFT(H20,1)),0)/4*4+IFERROR(VALUE(LEFT(H21,1)),0)/4*4+IFERROR(VALUE(LEFT(H22,1)),0)/4*4+IFERROR(VALUE(LEFT(H24,1)),0)/4*4+IFERROR(VALUE(LEFT(H25,1)),0)/4*4+IFERROR(VALUE(LEFT(H26,1)),0)/4*4+IFERROR(VALUE(LEFT(H28,1)),0)/4*4+IFERROR(VALUE(LEFT(H29,1)),0)/4*4+IFERROR(VALUE(LEFT(H30,1)),0)/4*4+IFERROR(VALUE(LEFT(H33,1)),0)/4*20+IFERROR(VALUE(LEFT(H37,1)),0)/4*12+IFERROR(VALUE(LEFT(H40,1)),0)/4*12)</f>
        <v/>
      </c>
      <c r="I9" s="10">
        <f>IF(I14="","",IFERROR(VLOOKUP(I14,Lists!$B$2:$C$7,2,FALSE),0)+IFERROR(VALUE(LEFT(I20,1)),0)/4*4+IFERROR(VALUE(LEFT(I21,1)),0)/4*4+IFERROR(VALUE(LEFT(I22,1)),0)/4*4+IFERROR(VALUE(LEFT(I24,1)),0)/4*4+IFERROR(VALUE(LEFT(I25,1)),0)/4*4+IFERROR(VALUE(LEFT(I26,1)),0)/4*4+IFERROR(VALUE(LEFT(I28,1)),0)/4*4+IFERROR(VALUE(LEFT(I29,1)),0)/4*4+IFERROR(VALUE(LEFT(I30,1)),0)/4*4+IFERROR(VALUE(LEFT(I33,1)),0)/4*20+IFERROR(VALUE(LEFT(I37,1)),0)/4*12+IFERROR(VALUE(LEFT(I40,1)),0)/4*12)</f>
        <v/>
      </c>
      <c r="J9" s="10">
        <f>IF(J14="","",IFERROR(VLOOKUP(J14,Lists!$B$2:$C$7,2,FALSE),0)+IFERROR(VALUE(LEFT(J20,1)),0)/4*4+IFERROR(VALUE(LEFT(J21,1)),0)/4*4+IFERROR(VALUE(LEFT(J22,1)),0)/4*4+IFERROR(VALUE(LEFT(J24,1)),0)/4*4+IFERROR(VALUE(LEFT(J25,1)),0)/4*4+IFERROR(VALUE(LEFT(J26,1)),0)/4*4+IFERROR(VALUE(LEFT(J28,1)),0)/4*4+IFERROR(VALUE(LEFT(J29,1)),0)/4*4+IFERROR(VALUE(LEFT(J30,1)),0)/4*4+IFERROR(VALUE(LEFT(J33,1)),0)/4*20+IFERROR(VALUE(LEFT(J37,1)),0)/4*12+IFERROR(VALUE(LEFT(J40,1)),0)/4*12)</f>
        <v/>
      </c>
      <c r="K9" s="10">
        <f>IF(K14="","",IFERROR(VLOOKUP(K14,Lists!$B$2:$C$7,2,FALSE),0)+IFERROR(VALUE(LEFT(K20,1)),0)/4*4+IFERROR(VALUE(LEFT(K21,1)),0)/4*4+IFERROR(VALUE(LEFT(K22,1)),0)/4*4+IFERROR(VALUE(LEFT(K24,1)),0)/4*4+IFERROR(VALUE(LEFT(K25,1)),0)/4*4+IFERROR(VALUE(LEFT(K26,1)),0)/4*4+IFERROR(VALUE(LEFT(K28,1)),0)/4*4+IFERROR(VALUE(LEFT(K29,1)),0)/4*4+IFERROR(VALUE(LEFT(K30,1)),0)/4*4+IFERROR(VALUE(LEFT(K33,1)),0)/4*20+IFERROR(VALUE(LEFT(K37,1)),0)/4*12+IFERROR(VALUE(LEFT(K40,1)),0)/4*12)</f>
        <v/>
      </c>
      <c r="L9" s="10">
        <f>IF(L14="","",IFERROR(VLOOKUP(L14,Lists!$B$2:$C$7,2,FALSE),0)+IFERROR(VALUE(LEFT(L20,1)),0)/4*4+IFERROR(VALUE(LEFT(L21,1)),0)/4*4+IFERROR(VALUE(LEFT(L22,1)),0)/4*4+IFERROR(VALUE(LEFT(L24,1)),0)/4*4+IFERROR(VALUE(LEFT(L25,1)),0)/4*4+IFERROR(VALUE(LEFT(L26,1)),0)/4*4+IFERROR(VALUE(LEFT(L28,1)),0)/4*4+IFERROR(VALUE(LEFT(L29,1)),0)/4*4+IFERROR(VALUE(LEFT(L30,1)),0)/4*4+IFERROR(VALUE(LEFT(L33,1)),0)/4*20+IFERROR(VALUE(LEFT(L37,1)),0)/4*12+IFERROR(VALUE(LEFT(L40,1)),0)/4*12)</f>
        <v/>
      </c>
      <c r="M9" s="10">
        <f>IF(M14="","",IFERROR(VLOOKUP(M14,Lists!$B$2:$C$7,2,FALSE),0)+IFERROR(VALUE(LEFT(M20,1)),0)/4*4+IFERROR(VALUE(LEFT(M21,1)),0)/4*4+IFERROR(VALUE(LEFT(M22,1)),0)/4*4+IFERROR(VALUE(LEFT(M24,1)),0)/4*4+IFERROR(VALUE(LEFT(M25,1)),0)/4*4+IFERROR(VALUE(LEFT(M26,1)),0)/4*4+IFERROR(VALUE(LEFT(M28,1)),0)/4*4+IFERROR(VALUE(LEFT(M29,1)),0)/4*4+IFERROR(VALUE(LEFT(M30,1)),0)/4*4+IFERROR(VALUE(LEFT(M33,1)),0)/4*20+IFERROR(VALUE(LEFT(M37,1)),0)/4*12+IFERROR(VALUE(LEFT(M40,1)),0)/4*12)</f>
        <v/>
      </c>
      <c r="N9" s="10">
        <f>IF(N14="","",IFERROR(VLOOKUP(N14,Lists!$B$2:$C$7,2,FALSE),0)+IFERROR(VALUE(LEFT(N20,1)),0)/4*4+IFERROR(VALUE(LEFT(N21,1)),0)/4*4+IFERROR(VALUE(LEFT(N22,1)),0)/4*4+IFERROR(VALUE(LEFT(N24,1)),0)/4*4+IFERROR(VALUE(LEFT(N25,1)),0)/4*4+IFERROR(VALUE(LEFT(N26,1)),0)/4*4+IFERROR(VALUE(LEFT(N28,1)),0)/4*4+IFERROR(VALUE(LEFT(N29,1)),0)/4*4+IFERROR(VALUE(LEFT(N30,1)),0)/4*4+IFERROR(VALUE(LEFT(N33,1)),0)/4*20+IFERROR(VALUE(LEFT(N37,1)),0)/4*12+IFERROR(VALUE(LEFT(N40,1)),0)/4*12)</f>
        <v/>
      </c>
      <c r="O9" s="10">
        <f>IF(O14="","",IFERROR(VLOOKUP(O14,Lists!$B$2:$C$7,2,FALSE),0)+IFERROR(VALUE(LEFT(O20,1)),0)/4*4+IFERROR(VALUE(LEFT(O21,1)),0)/4*4+IFERROR(VALUE(LEFT(O22,1)),0)/4*4+IFERROR(VALUE(LEFT(O24,1)),0)/4*4+IFERROR(VALUE(LEFT(O25,1)),0)/4*4+IFERROR(VALUE(LEFT(O26,1)),0)/4*4+IFERROR(VALUE(LEFT(O28,1)),0)/4*4+IFERROR(VALUE(LEFT(O29,1)),0)/4*4+IFERROR(VALUE(LEFT(O30,1)),0)/4*4+IFERROR(VALUE(LEFT(O33,1)),0)/4*20+IFERROR(VALUE(LEFT(O37,1)),0)/4*12+IFERROR(VALUE(LEFT(O40,1)),0)/4*12)</f>
        <v/>
      </c>
      <c r="P9" s="10">
        <f>IF(P14="","",IFERROR(VLOOKUP(P14,Lists!$B$2:$C$7,2,FALSE),0)+IFERROR(VALUE(LEFT(P20,1)),0)/4*4+IFERROR(VALUE(LEFT(P21,1)),0)/4*4+IFERROR(VALUE(LEFT(P22,1)),0)/4*4+IFERROR(VALUE(LEFT(P24,1)),0)/4*4+IFERROR(VALUE(LEFT(P25,1)),0)/4*4+IFERROR(VALUE(LEFT(P26,1)),0)/4*4+IFERROR(VALUE(LEFT(P28,1)),0)/4*4+IFERROR(VALUE(LEFT(P29,1)),0)/4*4+IFERROR(VALUE(LEFT(P30,1)),0)/4*4+IFERROR(VALUE(LEFT(P33,1)),0)/4*20+IFERROR(VALUE(LEFT(P37,1)),0)/4*12+IFERROR(VALUE(LEFT(P40,1)),0)/4*12)</f>
        <v/>
      </c>
      <c r="Q9" s="10">
        <f>IF(Q14="","",IFERROR(VLOOKUP(Q14,Lists!$B$2:$C$7,2,FALSE),0)+IFERROR(VALUE(LEFT(Q20,1)),0)/4*4+IFERROR(VALUE(LEFT(Q21,1)),0)/4*4+IFERROR(VALUE(LEFT(Q22,1)),0)/4*4+IFERROR(VALUE(LEFT(Q24,1)),0)/4*4+IFERROR(VALUE(LEFT(Q25,1)),0)/4*4+IFERROR(VALUE(LEFT(Q26,1)),0)/4*4+IFERROR(VALUE(LEFT(Q28,1)),0)/4*4+IFERROR(VALUE(LEFT(Q29,1)),0)/4*4+IFERROR(VALUE(LEFT(Q30,1)),0)/4*4+IFERROR(VALUE(LEFT(Q33,1)),0)/4*20+IFERROR(VALUE(LEFT(Q37,1)),0)/4*12+IFERROR(VALUE(LEFT(Q40,1)),0)/4*12)</f>
        <v/>
      </c>
      <c r="R9" s="10">
        <f>IF(R14="","",IFERROR(VLOOKUP(R14,Lists!$B$2:$C$7,2,FALSE),0)+IFERROR(VALUE(LEFT(R20,1)),0)/4*4+IFERROR(VALUE(LEFT(R21,1)),0)/4*4+IFERROR(VALUE(LEFT(R22,1)),0)/4*4+IFERROR(VALUE(LEFT(R24,1)),0)/4*4+IFERROR(VALUE(LEFT(R25,1)),0)/4*4+IFERROR(VALUE(LEFT(R26,1)),0)/4*4+IFERROR(VALUE(LEFT(R28,1)),0)/4*4+IFERROR(VALUE(LEFT(R29,1)),0)/4*4+IFERROR(VALUE(LEFT(R30,1)),0)/4*4+IFERROR(VALUE(LEFT(R33,1)),0)/4*20+IFERROR(VALUE(LEFT(R37,1)),0)/4*12+IFERROR(VALUE(LEFT(R40,1)),0)/4*12)</f>
        <v/>
      </c>
      <c r="S9" s="10">
        <f>IF(S14="","",IFERROR(VLOOKUP(S14,Lists!$B$2:$C$7,2,FALSE),0)+IFERROR(VALUE(LEFT(S20,1)),0)/4*4+IFERROR(VALUE(LEFT(S21,1)),0)/4*4+IFERROR(VALUE(LEFT(S22,1)),0)/4*4+IFERROR(VALUE(LEFT(S24,1)),0)/4*4+IFERROR(VALUE(LEFT(S25,1)),0)/4*4+IFERROR(VALUE(LEFT(S26,1)),0)/4*4+IFERROR(VALUE(LEFT(S28,1)),0)/4*4+IFERROR(VALUE(LEFT(S29,1)),0)/4*4+IFERROR(VALUE(LEFT(S30,1)),0)/4*4+IFERROR(VALUE(LEFT(S33,1)),0)/4*20+IFERROR(VALUE(LEFT(S37,1)),0)/4*12+IFERROR(VALUE(LEFT(S40,1)),0)/4*12)</f>
        <v/>
      </c>
      <c r="T9" s="10">
        <f>IF(T14="","",IFERROR(VLOOKUP(T14,Lists!$B$2:$C$7,2,FALSE),0)+IFERROR(VALUE(LEFT(T20,1)),0)/4*4+IFERROR(VALUE(LEFT(T21,1)),0)/4*4+IFERROR(VALUE(LEFT(T22,1)),0)/4*4+IFERROR(VALUE(LEFT(T24,1)),0)/4*4+IFERROR(VALUE(LEFT(T25,1)),0)/4*4+IFERROR(VALUE(LEFT(T26,1)),0)/4*4+IFERROR(VALUE(LEFT(T28,1)),0)/4*4+IFERROR(VALUE(LEFT(T29,1)),0)/4*4+IFERROR(VALUE(LEFT(T30,1)),0)/4*4+IFERROR(VALUE(LEFT(T33,1)),0)/4*20+IFERROR(VALUE(LEFT(T37,1)),0)/4*12+IFERROR(VALUE(LEFT(T40,1)),0)/4*12)</f>
        <v/>
      </c>
      <c r="U9" s="10">
        <f>IF(U14="","",IFERROR(VLOOKUP(U14,Lists!$B$2:$C$7,2,FALSE),0)+IFERROR(VALUE(LEFT(U20,1)),0)/4*4+IFERROR(VALUE(LEFT(U21,1)),0)/4*4+IFERROR(VALUE(LEFT(U22,1)),0)/4*4+IFERROR(VALUE(LEFT(U24,1)),0)/4*4+IFERROR(VALUE(LEFT(U25,1)),0)/4*4+IFERROR(VALUE(LEFT(U26,1)),0)/4*4+IFERROR(VALUE(LEFT(U28,1)),0)/4*4+IFERROR(VALUE(LEFT(U29,1)),0)/4*4+IFERROR(VALUE(LEFT(U30,1)),0)/4*4+IFERROR(VALUE(LEFT(U33,1)),0)/4*20+IFERROR(VALUE(LEFT(U37,1)),0)/4*12+IFERROR(VALUE(LEFT(U40,1)),0)/4*12)</f>
        <v/>
      </c>
    </row>
    <row r="10">
      <c r="B10" s="11" t="inlineStr">
        <is>
          <t>Band</t>
        </is>
      </c>
      <c r="C10" s="9" t="inlineStr">
        <is>
          <t>80 Advance · 65 Consider · 50 Hold</t>
        </is>
      </c>
      <c r="F10" s="12">
        <f>IF(F14="","",IF(IFERROR(VLOOKUP(F14,Lists!$B$2:$C$7,2,FALSE),0)&lt;12,"Conditional — ","")&amp;IF(F9&gt;=80,"Advance",IF(F9&gt;=65,"Consider",IF(F9&gt;=50,"Hold","Decline"))))</f>
        <v/>
      </c>
      <c r="G10" s="12">
        <f>IF(G14="","",IF(IFERROR(VLOOKUP(G14,Lists!$B$2:$C$7,2,FALSE),0)&lt;12,"Conditional — ","")&amp;IF(G9&gt;=80,"Advance",IF(G9&gt;=65,"Consider",IF(G9&gt;=50,"Hold","Decline"))))</f>
        <v/>
      </c>
      <c r="H10" s="12">
        <f>IF(H14="","",IF(IFERROR(VLOOKUP(H14,Lists!$B$2:$C$7,2,FALSE),0)&lt;12,"Conditional — ","")&amp;IF(H9&gt;=80,"Advance",IF(H9&gt;=65,"Consider",IF(H9&gt;=50,"Hold","Decline"))))</f>
        <v/>
      </c>
      <c r="I10" s="12">
        <f>IF(I14="","",IF(IFERROR(VLOOKUP(I14,Lists!$B$2:$C$7,2,FALSE),0)&lt;12,"Conditional — ","")&amp;IF(I9&gt;=80,"Advance",IF(I9&gt;=65,"Consider",IF(I9&gt;=50,"Hold","Decline"))))</f>
        <v/>
      </c>
      <c r="J10" s="12">
        <f>IF(J14="","",IF(IFERROR(VLOOKUP(J14,Lists!$B$2:$C$7,2,FALSE),0)&lt;12,"Conditional — ","")&amp;IF(J9&gt;=80,"Advance",IF(J9&gt;=65,"Consider",IF(J9&gt;=50,"Hold","Decline"))))</f>
        <v/>
      </c>
      <c r="K10" s="12">
        <f>IF(K14="","",IF(IFERROR(VLOOKUP(K14,Lists!$B$2:$C$7,2,FALSE),0)&lt;12,"Conditional — ","")&amp;IF(K9&gt;=80,"Advance",IF(K9&gt;=65,"Consider",IF(K9&gt;=50,"Hold","Decline"))))</f>
        <v/>
      </c>
      <c r="L10" s="12">
        <f>IF(L14="","",IF(IFERROR(VLOOKUP(L14,Lists!$B$2:$C$7,2,FALSE),0)&lt;12,"Conditional — ","")&amp;IF(L9&gt;=80,"Advance",IF(L9&gt;=65,"Consider",IF(L9&gt;=50,"Hold","Decline"))))</f>
        <v/>
      </c>
      <c r="M10" s="12">
        <f>IF(M14="","",IF(IFERROR(VLOOKUP(M14,Lists!$B$2:$C$7,2,FALSE),0)&lt;12,"Conditional — ","")&amp;IF(M9&gt;=80,"Advance",IF(M9&gt;=65,"Consider",IF(M9&gt;=50,"Hold","Decline"))))</f>
        <v/>
      </c>
      <c r="N10" s="12">
        <f>IF(N14="","",IF(IFERROR(VLOOKUP(N14,Lists!$B$2:$C$7,2,FALSE),0)&lt;12,"Conditional — ","")&amp;IF(N9&gt;=80,"Advance",IF(N9&gt;=65,"Consider",IF(N9&gt;=50,"Hold","Decline"))))</f>
        <v/>
      </c>
      <c r="O10" s="12">
        <f>IF(O14="","",IF(IFERROR(VLOOKUP(O14,Lists!$B$2:$C$7,2,FALSE),0)&lt;12,"Conditional — ","")&amp;IF(O9&gt;=80,"Advance",IF(O9&gt;=65,"Consider",IF(O9&gt;=50,"Hold","Decline"))))</f>
        <v/>
      </c>
      <c r="P10" s="12">
        <f>IF(P14="","",IF(IFERROR(VLOOKUP(P14,Lists!$B$2:$C$7,2,FALSE),0)&lt;12,"Conditional — ","")&amp;IF(P9&gt;=80,"Advance",IF(P9&gt;=65,"Consider",IF(P9&gt;=50,"Hold","Decline"))))</f>
        <v/>
      </c>
      <c r="Q10" s="12">
        <f>IF(Q14="","",IF(IFERROR(VLOOKUP(Q14,Lists!$B$2:$C$7,2,FALSE),0)&lt;12,"Conditional — ","")&amp;IF(Q9&gt;=80,"Advance",IF(Q9&gt;=65,"Consider",IF(Q9&gt;=50,"Hold","Decline"))))</f>
        <v/>
      </c>
      <c r="R10" s="12">
        <f>IF(R14="","",IF(IFERROR(VLOOKUP(R14,Lists!$B$2:$C$7,2,FALSE),0)&lt;12,"Conditional — ","")&amp;IF(R9&gt;=80,"Advance",IF(R9&gt;=65,"Consider",IF(R9&gt;=50,"Hold","Decline"))))</f>
        <v/>
      </c>
      <c r="S10" s="12">
        <f>IF(S14="","",IF(IFERROR(VLOOKUP(S14,Lists!$B$2:$C$7,2,FALSE),0)&lt;12,"Conditional — ","")&amp;IF(S9&gt;=80,"Advance",IF(S9&gt;=65,"Consider",IF(S9&gt;=50,"Hold","Decline"))))</f>
        <v/>
      </c>
      <c r="T10" s="12">
        <f>IF(T14="","",IF(IFERROR(VLOOKUP(T14,Lists!$B$2:$C$7,2,FALSE),0)&lt;12,"Conditional — ","")&amp;IF(T9&gt;=80,"Advance",IF(T9&gt;=65,"Consider",IF(T9&gt;=50,"Hold","Decline"))))</f>
        <v/>
      </c>
      <c r="U10" s="12">
        <f>IF(U14="","",IF(IFERROR(VLOOKUP(U14,Lists!$B$2:$C$7,2,FALSE),0)&lt;12,"Conditional — ","")&amp;IF(U9&gt;=80,"Advance",IF(U9&gt;=65,"Consider",IF(U9&gt;=50,"Hold","Decline"))))</f>
        <v/>
      </c>
    </row>
    <row r="11">
      <c r="B11" s="13" t="inlineStr">
        <is>
          <t>Flags</t>
        </is>
      </c>
      <c r="C11" s="9" t="inlineStr">
        <is>
          <t>stop-checks raised, of three</t>
        </is>
      </c>
      <c r="F11" s="14">
        <f>IF(F14="","",IF(F15="STOP-CHECK",1,0)+IF(F16="STOP-CHECK",1,0)+IF(F34="STOP-CHECK",1,0))</f>
        <v/>
      </c>
      <c r="G11" s="14">
        <f>IF(G14="","",IF(G15="STOP-CHECK",1,0)+IF(G16="STOP-CHECK",1,0)+IF(G34="STOP-CHECK",1,0))</f>
        <v/>
      </c>
      <c r="H11" s="14">
        <f>IF(H14="","",IF(H15="STOP-CHECK",1,0)+IF(H16="STOP-CHECK",1,0)+IF(H34="STOP-CHECK",1,0))</f>
        <v/>
      </c>
      <c r="I11" s="14">
        <f>IF(I14="","",IF(I15="STOP-CHECK",1,0)+IF(I16="STOP-CHECK",1,0)+IF(I34="STOP-CHECK",1,0))</f>
        <v/>
      </c>
      <c r="J11" s="14">
        <f>IF(J14="","",IF(J15="STOP-CHECK",1,0)+IF(J16="STOP-CHECK",1,0)+IF(J34="STOP-CHECK",1,0))</f>
        <v/>
      </c>
      <c r="K11" s="14">
        <f>IF(K14="","",IF(K15="STOP-CHECK",1,0)+IF(K16="STOP-CHECK",1,0)+IF(K34="STOP-CHECK",1,0))</f>
        <v/>
      </c>
      <c r="L11" s="14">
        <f>IF(L14="","",IF(L15="STOP-CHECK",1,0)+IF(L16="STOP-CHECK",1,0)+IF(L34="STOP-CHECK",1,0))</f>
        <v/>
      </c>
      <c r="M11" s="14">
        <f>IF(M14="","",IF(M15="STOP-CHECK",1,0)+IF(M16="STOP-CHECK",1,0)+IF(M34="STOP-CHECK",1,0))</f>
        <v/>
      </c>
      <c r="N11" s="14">
        <f>IF(N14="","",IF(N15="STOP-CHECK",1,0)+IF(N16="STOP-CHECK",1,0)+IF(N34="STOP-CHECK",1,0))</f>
        <v/>
      </c>
      <c r="O11" s="14">
        <f>IF(O14="","",IF(O15="STOP-CHECK",1,0)+IF(O16="STOP-CHECK",1,0)+IF(O34="STOP-CHECK",1,0))</f>
        <v/>
      </c>
      <c r="P11" s="14">
        <f>IF(P14="","",IF(P15="STOP-CHECK",1,0)+IF(P16="STOP-CHECK",1,0)+IF(P34="STOP-CHECK",1,0))</f>
        <v/>
      </c>
      <c r="Q11" s="14">
        <f>IF(Q14="","",IF(Q15="STOP-CHECK",1,0)+IF(Q16="STOP-CHECK",1,0)+IF(Q34="STOP-CHECK",1,0))</f>
        <v/>
      </c>
      <c r="R11" s="14">
        <f>IF(R14="","",IF(R15="STOP-CHECK",1,0)+IF(R16="STOP-CHECK",1,0)+IF(R34="STOP-CHECK",1,0))</f>
        <v/>
      </c>
      <c r="S11" s="14">
        <f>IF(S14="","",IF(S15="STOP-CHECK",1,0)+IF(S16="STOP-CHECK",1,0)+IF(S34="STOP-CHECK",1,0))</f>
        <v/>
      </c>
      <c r="T11" s="14">
        <f>IF(T14="","",IF(T15="STOP-CHECK",1,0)+IF(T16="STOP-CHECK",1,0)+IF(T34="STOP-CHECK",1,0))</f>
        <v/>
      </c>
      <c r="U11" s="14">
        <f>IF(U14="","",IF(U15="STOP-CHECK",1,0)+IF(U16="STOP-CHECK",1,0)+IF(U34="STOP-CHECK",1,0))</f>
        <v/>
      </c>
    </row>
    <row r="13" ht="21" customHeight="1">
      <c r="B13" s="7" t="inlineStr">
        <is>
          <t>A  ·  COMPANY AND PRODUCT</t>
        </is>
      </c>
    </row>
    <row r="14" ht="24" customHeight="1">
      <c r="B14" s="15" t="inlineStr">
        <is>
          <t>A1</t>
        </is>
      </c>
      <c r="C14" s="16" t="inlineStr">
        <is>
          <t>Home Care Home Base integration</t>
        </is>
      </c>
      <c r="D14" s="9" t="inlineStr">
        <is>
          <t>Pick the line that matches their answer</t>
        </is>
      </c>
      <c r="E14" s="15" t="n">
        <v>20</v>
      </c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</row>
    <row r="15" ht="19" customHeight="1">
      <c r="B15" s="18" t="inlineStr">
        <is>
          <t>A2</t>
        </is>
      </c>
      <c r="C15" s="16" t="inlineStr">
        <is>
          <t>Customers, scale and references</t>
        </is>
      </c>
      <c r="D15" s="9" t="inlineStr">
        <is>
          <t>Stop-check if one customer, or no references offered</t>
        </is>
      </c>
      <c r="E15" s="19" t="inlineStr">
        <is>
          <t>—</t>
        </is>
      </c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</row>
    <row r="16" ht="19" customHeight="1">
      <c r="B16" s="18" t="inlineStr">
        <is>
          <t>A3</t>
        </is>
      </c>
      <c r="C16" s="16" t="inlineStr">
        <is>
          <t>Measured impact</t>
        </is>
      </c>
      <c r="D16" s="9" t="inlineStr">
        <is>
          <t>Watch if claimed with no baseline or period</t>
        </is>
      </c>
      <c r="E16" s="19" t="inlineStr">
        <is>
          <t>—</t>
        </is>
      </c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</row>
    <row r="18" ht="21" customHeight="1">
      <c r="B18" s="7" t="inlineStr">
        <is>
          <t>B  ·  COVERAGE SELF-ASSESSMENT   —   how much of our scope they cover</t>
        </is>
      </c>
    </row>
    <row r="19" ht="17" customHeight="1">
      <c r="B19" s="21" t="inlineStr">
        <is>
          <t>CAPACITY   —   three marks, 12 points</t>
        </is>
      </c>
    </row>
    <row r="20" ht="22" customHeight="1">
      <c r="B20" s="22" t="inlineStr">
        <is>
          <t>Section B</t>
        </is>
      </c>
      <c r="C20" s="16" t="inlineStr">
        <is>
          <t>Workforce supply</t>
        </is>
      </c>
      <c r="D20" s="9" t="inlineStr">
        <is>
          <t>Roster, disciplines, roles, competencies, ramp, float pool</t>
        </is>
      </c>
      <c r="E20" s="22" t="n">
        <v>4</v>
      </c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</row>
    <row r="21" ht="22" customHeight="1">
      <c r="B21" s="22" t="inlineStr">
        <is>
          <t>Section B</t>
        </is>
      </c>
      <c r="C21" s="16" t="inlineStr">
        <is>
          <t>Availability &amp; reach</t>
        </is>
      </c>
      <c r="D21" s="9" t="inlineStr">
        <is>
          <t>Availability and time off, territory, drive-time reachability</t>
        </is>
      </c>
      <c r="E21" s="22" t="n">
        <v>4</v>
      </c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3" t="n"/>
      <c r="S21" s="23" t="n"/>
      <c r="T21" s="23" t="n"/>
      <c r="U21" s="23" t="n"/>
    </row>
    <row r="22" ht="22" customHeight="1">
      <c r="B22" s="22" t="inlineStr">
        <is>
          <t>Section B</t>
        </is>
      </c>
      <c r="C22" s="16" t="inlineStr">
        <is>
          <t>The capacity math</t>
        </is>
      </c>
      <c r="D22" s="9" t="inlineStr">
        <is>
          <t>Visit weighting, targets and ceilings, committed load vs. open room</t>
        </is>
      </c>
      <c r="E22" s="22" t="n">
        <v>4</v>
      </c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3" t="n"/>
      <c r="S22" s="23" t="n"/>
      <c r="T22" s="23" t="n"/>
      <c r="U22" s="23" t="n"/>
    </row>
    <row r="23" ht="17" customHeight="1">
      <c r="B23" s="24" t="inlineStr">
        <is>
          <t>SCHEDULING   —   three marks, 12 points</t>
        </is>
      </c>
    </row>
    <row r="24" ht="22" customHeight="1">
      <c r="B24" s="25" t="inlineStr">
        <is>
          <t>Section B</t>
        </is>
      </c>
      <c r="C24" s="16" t="inlineStr">
        <is>
          <t>Demand &amp; matching</t>
        </is>
      </c>
      <c r="D24" s="9" t="inlineStr">
        <is>
          <t>Ordered visits, authorization, readiness — and who fits them</t>
        </is>
      </c>
      <c r="E24" s="25" t="n">
        <v>4</v>
      </c>
      <c r="F24" s="23" t="n"/>
      <c r="G24" s="23" t="n"/>
      <c r="H24" s="23" t="n"/>
      <c r="I24" s="23" t="n"/>
      <c r="J24" s="23" t="n"/>
      <c r="K24" s="23" t="n"/>
      <c r="L24" s="23" t="n"/>
      <c r="M24" s="23" t="n"/>
      <c r="N24" s="23" t="n"/>
      <c r="O24" s="23" t="n"/>
      <c r="P24" s="23" t="n"/>
      <c r="Q24" s="23" t="n"/>
      <c r="R24" s="23" t="n"/>
      <c r="S24" s="23" t="n"/>
      <c r="T24" s="23" t="n"/>
      <c r="U24" s="23" t="n"/>
    </row>
    <row r="25" ht="22" customHeight="1">
      <c r="B25" s="25" t="inlineStr">
        <is>
          <t>Section B</t>
        </is>
      </c>
      <c r="C25" s="16" t="inlineStr">
        <is>
          <t>Routing &amp; the week</t>
        </is>
      </c>
      <c r="D25" s="9" t="inlineStr">
        <is>
          <t>Routing, sequencing, front-loading, week balancing</t>
        </is>
      </c>
      <c r="E25" s="25" t="n">
        <v>4</v>
      </c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3" t="n"/>
      <c r="S25" s="23" t="n"/>
      <c r="T25" s="23" t="n"/>
      <c r="U25" s="23" t="n"/>
    </row>
    <row r="26" ht="22" customHeight="1">
      <c r="B26" s="25" t="inlineStr">
        <is>
          <t>Section B</t>
        </is>
      </c>
      <c r="C26" s="16" t="inlineStr">
        <is>
          <t>Exceptions</t>
        </is>
      </c>
      <c r="D26" s="9" t="inlineStr">
        <is>
          <t>Missed visits, call-outs, reassignment, coverage, rebooking</t>
        </is>
      </c>
      <c r="E26" s="25" t="n">
        <v>4</v>
      </c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3" t="n"/>
      <c r="P26" s="23" t="n"/>
      <c r="Q26" s="23" t="n"/>
      <c r="R26" s="23" t="n"/>
      <c r="S26" s="23" t="n"/>
      <c r="T26" s="23" t="n"/>
      <c r="U26" s="23" t="n"/>
    </row>
    <row r="27" ht="17" customHeight="1">
      <c r="B27" s="26" t="inlineStr">
        <is>
          <t>ENGAGEMENT   —   three marks, 12 points</t>
        </is>
      </c>
    </row>
    <row r="28" ht="22" customHeight="1">
      <c r="B28" s="27" t="inlineStr">
        <is>
          <t>Section B</t>
        </is>
      </c>
      <c r="C28" s="16" t="inlineStr">
        <is>
          <t>Before the visit</t>
        </is>
      </c>
      <c r="D28" s="9" t="inlineStr">
        <is>
          <t>Welcome call, availability capture, reminders, confirmation, en-route</t>
        </is>
      </c>
      <c r="E28" s="27" t="n">
        <v>4</v>
      </c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23" t="n"/>
      <c r="T28" s="23" t="n"/>
      <c r="U28" s="23" t="n"/>
    </row>
    <row r="29" ht="22" customHeight="1">
      <c r="B29" s="27" t="inlineStr">
        <is>
          <t>Section B</t>
        </is>
      </c>
      <c r="C29" s="16" t="inlineStr">
        <is>
          <t>When plans change</t>
        </is>
      </c>
      <c r="D29" s="9" t="inlineStr">
        <is>
          <t>Reschedule, coverage outreach, urgent same-day needs, incentives</t>
        </is>
      </c>
      <c r="E29" s="27" t="n">
        <v>4</v>
      </c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3" t="n"/>
      <c r="Q29" s="23" t="n"/>
      <c r="R29" s="23" t="n"/>
      <c r="S29" s="23" t="n"/>
      <c r="T29" s="23" t="n"/>
      <c r="U29" s="23" t="n"/>
    </row>
    <row r="30" ht="22" customHeight="1">
      <c r="B30" s="27" t="inlineStr">
        <is>
          <t>Section B</t>
        </is>
      </c>
      <c r="C30" s="16" t="inlineStr">
        <is>
          <t>Across the care team</t>
        </is>
      </c>
      <c r="D30" s="9" t="inlineStr">
        <is>
          <t>Multi-discipline coordination, clinician and office updates</t>
        </is>
      </c>
      <c r="E30" s="27" t="n">
        <v>4</v>
      </c>
      <c r="F30" s="23" t="n"/>
      <c r="G30" s="23" t="n"/>
      <c r="H30" s="23" t="n"/>
      <c r="I30" s="23" t="n"/>
      <c r="J30" s="23" t="n"/>
      <c r="K30" s="23" t="n"/>
      <c r="L30" s="23" t="n"/>
      <c r="M30" s="23" t="n"/>
      <c r="N30" s="23" t="n"/>
      <c r="O30" s="23" t="n"/>
      <c r="P30" s="23" t="n"/>
      <c r="Q30" s="23" t="n"/>
      <c r="R30" s="23" t="n"/>
      <c r="S30" s="23" t="n"/>
      <c r="T30" s="23" t="n"/>
      <c r="U30" s="23" t="n"/>
    </row>
    <row r="32" ht="21" customHeight="1">
      <c r="B32" s="7" t="inlineStr">
        <is>
          <t>C  ·  HOW YOUR PRODUCT WORKS</t>
        </is>
      </c>
    </row>
    <row r="33" ht="24" customHeight="1">
      <c r="B33" s="28" t="inlineStr">
        <is>
          <t>Section C</t>
        </is>
      </c>
      <c r="C33" s="16" t="inlineStr">
        <is>
          <t>Sophistication</t>
        </is>
      </c>
      <c r="D33" s="9" t="inlineStr">
        <is>
          <t>How much of the work the product does</t>
        </is>
      </c>
      <c r="E33" s="28" t="n">
        <v>20</v>
      </c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</row>
    <row r="34" ht="19" customHeight="1">
      <c r="B34" s="18" t="inlineStr">
        <is>
          <t>C6</t>
        </is>
      </c>
      <c r="C34" s="16" t="inlineStr">
        <is>
          <t>When your product is down</t>
        </is>
      </c>
      <c r="D34" s="9" t="inlineStr">
        <is>
          <t>Stop-check if no uptime figure or contractual commitment</t>
        </is>
      </c>
      <c r="E34" s="19" t="inlineStr">
        <is>
          <t>—</t>
        </is>
      </c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</row>
    <row r="36" ht="21" customHeight="1">
      <c r="B36" s="7" t="inlineStr">
        <is>
          <t>D  ·  THE CLINICIAN'S PLACE IN THE MODEL</t>
        </is>
      </c>
    </row>
    <row r="37" ht="24" customHeight="1">
      <c r="B37" s="29" t="inlineStr">
        <is>
          <t>D1–D3</t>
        </is>
      </c>
      <c r="C37" s="16" t="inlineStr">
        <is>
          <t>Clinician fit</t>
        </is>
      </c>
      <c r="D37" s="9" t="inlineStr">
        <is>
          <t>Our own read of fit — no checklist, on purpose</t>
        </is>
      </c>
      <c r="E37" s="29" t="n">
        <v>12</v>
      </c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</row>
    <row r="39" ht="21" customHeight="1">
      <c r="B39" s="7" t="inlineStr">
        <is>
          <t>E  ·  FIT AND PARTNERSHIP</t>
        </is>
      </c>
    </row>
    <row r="40" ht="24" customHeight="1">
      <c r="B40" s="29" t="inlineStr">
        <is>
          <t>E1–E4</t>
        </is>
      </c>
      <c r="C40" s="16" t="inlineStr">
        <is>
          <t>Partnership</t>
        </is>
      </c>
      <c r="D40" s="9" t="inlineStr">
        <is>
          <t>Willing to build it with us, and open to a stake</t>
        </is>
      </c>
      <c r="E40" s="29" t="n">
        <v>12</v>
      </c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</row>
    <row r="42" ht="21" customHeight="1">
      <c r="B42" s="30" t="inlineStr">
        <is>
          <t>NOTES   —   one line each.  This is what we go and ask.</t>
        </is>
      </c>
    </row>
    <row r="43" ht="62" customHeight="1">
      <c r="B43" s="31" t="inlineStr"/>
      <c r="C43" s="32" t="inlineStr">
        <is>
          <t>What stands out</t>
        </is>
      </c>
      <c r="D43" s="33" t="inlineStr">
        <is>
          <t>against the field, or against our own thinking</t>
        </is>
      </c>
      <c r="E43" s="19" t="inlineStr">
        <is>
          <t>—</t>
        </is>
      </c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</row>
    <row r="44" ht="62" customHeight="1">
      <c r="B44" s="31" t="inlineStr"/>
      <c r="C44" s="32" t="inlineStr">
        <is>
          <t>What worries me</t>
        </is>
      </c>
      <c r="D44" s="33" t="inlineStr">
        <is>
          <t>including anything flagged above</t>
        </is>
      </c>
      <c r="E44" s="19" t="inlineStr">
        <is>
          <t>—</t>
        </is>
      </c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</row>
    <row r="45" ht="62" customHeight="1">
      <c r="B45" s="31" t="inlineStr"/>
      <c r="C45" s="32" t="inlineStr">
        <is>
          <t>What to go and ask</t>
        </is>
      </c>
      <c r="D45" s="33" t="inlineStr">
        <is>
          <t>the demo agenda</t>
        </is>
      </c>
      <c r="E45" s="19" t="inlineStr">
        <is>
          <t>—</t>
        </is>
      </c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</row>
  </sheetData>
  <mergeCells count="11">
    <mergeCell ref="B23:U23"/>
    <mergeCell ref="B27:U27"/>
    <mergeCell ref="B8:U8"/>
    <mergeCell ref="B32:U32"/>
    <mergeCell ref="B4:U4"/>
    <mergeCell ref="B18:U18"/>
    <mergeCell ref="B13:U13"/>
    <mergeCell ref="B39:U39"/>
    <mergeCell ref="B42:U42"/>
    <mergeCell ref="B19:U19"/>
    <mergeCell ref="B36:U36"/>
  </mergeCells>
  <conditionalFormatting sqref="F9:U9">
    <cfRule type="colorScale" priority="1">
      <colorScale>
        <cfvo type="num" val="40"/>
        <cfvo type="num" val="65"/>
        <cfvo type="num" val="90"/>
        <color rgb="00F5E3E3"/>
        <color rgb="00FBF3DD"/>
        <color rgb="00DDEBE0"/>
      </colorScale>
    </cfRule>
  </conditionalFormatting>
  <conditionalFormatting sqref="F10:U10">
    <cfRule type="expression" priority="2" dxfId="0">
      <formula>ISNUMBER(SEARCH("Conditional",F10))</formula>
    </cfRule>
  </conditionalFormatting>
  <conditionalFormatting sqref="F11:U11">
    <cfRule type="expression" priority="3" dxfId="0">
      <formula>F11&gt;0</formula>
    </cfRule>
  </conditionalFormatting>
  <conditionalFormatting sqref="F15:U15">
    <cfRule type="expression" priority="4" dxfId="1">
      <formula>F15="STOP-CHECK"</formula>
    </cfRule>
  </conditionalFormatting>
  <conditionalFormatting sqref="F16:U16">
    <cfRule type="expression" priority="5" dxfId="1">
      <formula>F16="STOP-CHECK"</formula>
    </cfRule>
  </conditionalFormatting>
  <conditionalFormatting sqref="F34:U34">
    <cfRule type="expression" priority="6" dxfId="1">
      <formula>F34="STOP-CHECK"</formula>
    </cfRule>
  </conditionalFormatting>
  <conditionalFormatting sqref="F20:U20">
    <cfRule type="colorScale" priority="7">
      <colorScale>
        <cfvo type="num" val="0"/>
        <cfvo type="num" val="4"/>
        <color rgb="00FFFFFF"/>
        <color rgb="001F6F78"/>
      </colorScale>
    </cfRule>
  </conditionalFormatting>
  <conditionalFormatting sqref="F21:U21">
    <cfRule type="colorScale" priority="8">
      <colorScale>
        <cfvo type="num" val="0"/>
        <cfvo type="num" val="4"/>
        <color rgb="00FFFFFF"/>
        <color rgb="001F6F78"/>
      </colorScale>
    </cfRule>
  </conditionalFormatting>
  <conditionalFormatting sqref="F22:U22">
    <cfRule type="colorScale" priority="9">
      <colorScale>
        <cfvo type="num" val="0"/>
        <cfvo type="num" val="4"/>
        <color rgb="00FFFFFF"/>
        <color rgb="001F6F78"/>
      </colorScale>
    </cfRule>
  </conditionalFormatting>
  <conditionalFormatting sqref="F24:U24">
    <cfRule type="colorScale" priority="10">
      <colorScale>
        <cfvo type="num" val="0"/>
        <cfvo type="num" val="4"/>
        <color rgb="00FFFFFF"/>
        <color rgb="002E599D"/>
      </colorScale>
    </cfRule>
  </conditionalFormatting>
  <conditionalFormatting sqref="F25:U25">
    <cfRule type="colorScale" priority="11">
      <colorScale>
        <cfvo type="num" val="0"/>
        <cfvo type="num" val="4"/>
        <color rgb="00FFFFFF"/>
        <color rgb="002E599D"/>
      </colorScale>
    </cfRule>
  </conditionalFormatting>
  <conditionalFormatting sqref="F26:U26">
    <cfRule type="colorScale" priority="12">
      <colorScale>
        <cfvo type="num" val="0"/>
        <cfvo type="num" val="4"/>
        <color rgb="00FFFFFF"/>
        <color rgb="002E599D"/>
      </colorScale>
    </cfRule>
  </conditionalFormatting>
  <conditionalFormatting sqref="F28:U28">
    <cfRule type="colorScale" priority="13">
      <colorScale>
        <cfvo type="num" val="0"/>
        <cfvo type="num" val="4"/>
        <color rgb="00FFFFFF"/>
        <color rgb="004E8A5B"/>
      </colorScale>
    </cfRule>
  </conditionalFormatting>
  <conditionalFormatting sqref="F29:U29">
    <cfRule type="colorScale" priority="14">
      <colorScale>
        <cfvo type="num" val="0"/>
        <cfvo type="num" val="4"/>
        <color rgb="00FFFFFF"/>
        <color rgb="004E8A5B"/>
      </colorScale>
    </cfRule>
  </conditionalFormatting>
  <conditionalFormatting sqref="F30:U30">
    <cfRule type="colorScale" priority="15">
      <colorScale>
        <cfvo type="num" val="0"/>
        <cfvo type="num" val="4"/>
        <color rgb="00FFFFFF"/>
        <color rgb="004E8A5B"/>
      </colorScale>
    </cfRule>
  </conditionalFormatting>
  <dataValidations count="6">
    <dataValidation sqref="F14:U14" showDropDown="0" showInputMessage="0" showErrorMessage="0" allowBlank="1" promptTitle="A1 — Home Care Home Base" prompt="Pick one line. Ambiguous? Take the lower one and say so in Notes." type="list">
      <formula1>=HCHB_List</formula1>
    </dataValidation>
    <dataValidation sqref="F20:U20 F21:U21 F22:U22 F24:U24 F25:U25 F26:U26 F28:U28 F29:U29 F30:U30" showDropDown="0" showInputMessage="0" showErrorMessage="0" allowBlank="1" promptTitle="Scope, 0–4" prompt="How much of this area they cover. The mark is the points: a 3 adds 3. Most of it is the ceiling — our spec is original." type="list">
      <formula1>=Scope_List</formula1>
    </dataValidation>
    <dataValidation sqref="F33:U33" showDropDown="0" showInputMessage="0" showErrorMessage="0" allowBlank="1" promptTitle="Sophistication, 0–4" prompt="1 shows it · 2 checks it · 3 recommends it · 4 runs it. Score what the product does, not how much they wrote about it." type="list">
      <formula1>=Soph_List</formula1>
    </dataValidation>
    <dataValidation sqref="F37:U37" showDropDown="0" showInputMessage="0" showErrorMessage="0" allowBlank="1" promptTitle="Clinician fit, 0–4" prompt="Read D1 to D3 and give it your own read of fit. There is no checklist here on purpose." type="list">
      <formula1>=Clin_List</formula1>
    </dataValidation>
    <dataValidation sqref="F40:U40" showDropDown="0" showInputMessage="0" showErrorMessage="0" allowBlank="1" promptTitle="Partnership, 0–4" prompt="Are they able and willing to build this with us, and open to us holding a stake in what a wider market might buy? A discount is a discount." type="list">
      <formula1>=Part_List</formula1>
    </dataValidation>
    <dataValidation sqref="F15:U15 F16:U16 F34:U34" showDropDown="0" showInputMessage="0" showErrorMessage="0" allowBlank="1" promptTitle="Flag" prompt="A stop-check is resolved before advancing, not traded against points." type="list">
      <formula1>"OK,Watch,STOP-CHECK"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6A01F"/>
    <outlinePr summaryBelow="1" summaryRight="1"/>
    <pageSetUpPr/>
  </sheetPr>
  <dimension ref="B2:D8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100" customWidth="1" min="4" max="4"/>
  </cols>
  <sheetData>
    <row r="2">
      <c r="B2" s="1" t="inlineStr">
        <is>
          <t>COMPASSUS  ·  HOME HEALTH</t>
        </is>
      </c>
    </row>
    <row r="3" ht="32" customHeight="1">
      <c r="B3" s="35" t="inlineStr">
        <is>
          <t>Vendor Scorecard — Fast</t>
        </is>
      </c>
    </row>
    <row r="4">
      <c r="B4" s="36" t="inlineStr">
        <is>
          <t>The questionnaire is the rubric. Read the return top to bottom and fill the sheet top to bottom. Seven marks a vendor.</t>
        </is>
      </c>
    </row>
    <row r="6" ht="10" customHeight="1"/>
    <row r="7" ht="22" customHeight="1">
      <c r="B7" s="7" t="inlineStr">
        <is>
          <t>HOW IT WORKS</t>
        </is>
      </c>
    </row>
    <row r="8" ht="28" customHeight="1">
      <c r="B8" s="37" t="inlineStr">
        <is>
          <t>Every one of the 17 questions on the questionnaire has a row on the Scorecard tab, in the order it appears on the form. Seven rows take a mark. The rest raise a flag or a note — and they say so, so nothing looks forgotten. What isn't scored becomes what we go and ask at the demo.</t>
        </is>
      </c>
    </row>
    <row r="9" ht="28" customHeight="1">
      <c r="B9" s="37" t="inlineStr">
        <is>
          <t>Scored on the same 100 points and the same bands as the full scorecard, so the two are directly comparable. This one is coarser, not different: it gives one mark where the full sheet gives several, so the two can disagree on a close call. That is the trade for speed.</t>
        </is>
      </c>
    </row>
    <row r="10" ht="10" customHeight="1"/>
    <row r="11" ht="22" customHeight="1">
      <c r="B11" s="7" t="inlineStr">
        <is>
          <t>THE SEVEN MARKS</t>
        </is>
      </c>
    </row>
    <row r="12">
      <c r="B12" s="38" t="inlineStr">
        <is>
          <t>Question</t>
        </is>
      </c>
      <c r="C12" s="38" t="inlineStr">
        <is>
          <t>Mark</t>
        </is>
      </c>
      <c r="D12" s="38" t="inlineStr">
        <is>
          <t>Points</t>
        </is>
      </c>
    </row>
    <row r="13" ht="21" customHeight="1">
      <c r="B13" s="39" t="inlineStr">
        <is>
          <t>A1</t>
        </is>
      </c>
      <c r="C13" s="37" t="inlineStr">
        <is>
          <t>Home Care Home Base integration</t>
        </is>
      </c>
      <c r="D13" s="40" t="inlineStr">
        <is>
          <t>20</t>
        </is>
      </c>
    </row>
    <row r="14" ht="21" customHeight="1">
      <c r="B14" s="39" t="inlineStr">
        <is>
          <t>Section B</t>
        </is>
      </c>
      <c r="C14" s="37" t="inlineStr">
        <is>
          <t>Capacity — three marks of 0–4</t>
        </is>
      </c>
      <c r="D14" s="40" t="inlineStr">
        <is>
          <t>12</t>
        </is>
      </c>
    </row>
    <row r="15" ht="21" customHeight="1">
      <c r="B15" s="39" t="inlineStr">
        <is>
          <t>Section B</t>
        </is>
      </c>
      <c r="C15" s="37" t="inlineStr">
        <is>
          <t>Scheduling — three marks of 0–4</t>
        </is>
      </c>
      <c r="D15" s="40" t="inlineStr">
        <is>
          <t>12</t>
        </is>
      </c>
    </row>
    <row r="16" ht="21" customHeight="1">
      <c r="B16" s="39" t="inlineStr">
        <is>
          <t>Section B</t>
        </is>
      </c>
      <c r="C16" s="37" t="inlineStr">
        <is>
          <t>Engagement — three marks of 0–4</t>
        </is>
      </c>
      <c r="D16" s="40" t="inlineStr">
        <is>
          <t>12</t>
        </is>
      </c>
    </row>
    <row r="17" ht="21" customHeight="1">
      <c r="B17" s="39" t="inlineStr">
        <is>
          <t>Section C</t>
        </is>
      </c>
      <c r="C17" s="37" t="inlineStr">
        <is>
          <t>Sophistication — how much of the work the product does</t>
        </is>
      </c>
      <c r="D17" s="40" t="inlineStr">
        <is>
          <t>20</t>
        </is>
      </c>
    </row>
    <row r="18" ht="21" customHeight="1">
      <c r="B18" s="39" t="inlineStr">
        <is>
          <t>D1–D3</t>
        </is>
      </c>
      <c r="C18" s="37" t="inlineStr">
        <is>
          <t>Clinician fit</t>
        </is>
      </c>
      <c r="D18" s="40" t="inlineStr">
        <is>
          <t>12</t>
        </is>
      </c>
    </row>
    <row r="19" ht="21" customHeight="1">
      <c r="B19" s="39" t="inlineStr">
        <is>
          <t>E1–E4</t>
        </is>
      </c>
      <c r="C19" s="37" t="inlineStr">
        <is>
          <t>Partnership</t>
        </is>
      </c>
      <c r="D19" s="40" t="inlineStr">
        <is>
          <t>12</t>
        </is>
      </c>
    </row>
    <row r="20" ht="21" customHeight="1">
      <c r="B20" s="39" t="inlineStr"/>
      <c r="C20" s="41" t="inlineStr">
        <is>
          <t>TOTAL</t>
        </is>
      </c>
      <c r="D20" s="40" t="inlineStr">
        <is>
          <t>100</t>
        </is>
      </c>
    </row>
    <row r="21" ht="10" customHeight="1"/>
    <row r="22" ht="22" customHeight="1">
      <c r="B22" s="7" t="inlineStr">
        <is>
          <t>A1  ·  HOME CARE HOME BASE   —   pick one line</t>
        </is>
      </c>
    </row>
    <row r="23" ht="28" customHeight="1">
      <c r="B23" s="37" t="inlineStr">
        <is>
          <t>Three of the six rungs are live integrations, because live through a partner is still live. Anything not yet live shows as Conditional on the score, whatever the total.</t>
        </is>
      </c>
    </row>
    <row r="24" ht="21" customHeight="1">
      <c r="B24" s="39" t="inlineStr">
        <is>
          <t>20</t>
        </is>
      </c>
      <c r="C24" s="37" t="inlineStr">
        <is>
          <t>Live — established customer base</t>
        </is>
      </c>
      <c r="D24" s="40" t="inlineStr"/>
    </row>
    <row r="25" ht="21" customHeight="1">
      <c r="B25" s="39" t="inlineStr">
        <is>
          <t>16</t>
        </is>
      </c>
      <c r="C25" s="37" t="inlineStr">
        <is>
          <t>Live — small customer base</t>
        </is>
      </c>
      <c r="D25" s="40" t="inlineStr"/>
    </row>
    <row r="26" ht="21" customHeight="1">
      <c r="B26" s="39" t="inlineStr">
        <is>
          <t>12</t>
        </is>
      </c>
      <c r="C26" s="37" t="inlineStr">
        <is>
          <t>Live — through a partner</t>
        </is>
      </c>
      <c r="D26" s="40" t="inlineStr"/>
    </row>
    <row r="27" ht="21" customHeight="1">
      <c r="B27" s="39" t="inlineStr">
        <is>
          <t>6</t>
        </is>
      </c>
      <c r="C27" s="37" t="inlineStr">
        <is>
          <t>In development — with a date</t>
        </is>
      </c>
      <c r="D27" s="40" t="inlineStr"/>
    </row>
    <row r="28" ht="21" customHeight="1">
      <c r="B28" s="39" t="inlineStr">
        <is>
          <t>2</t>
        </is>
      </c>
      <c r="C28" s="37" t="inlineStr">
        <is>
          <t>On the roadmap — no date</t>
        </is>
      </c>
      <c r="D28" s="40" t="inlineStr"/>
    </row>
    <row r="29" ht="21" customHeight="1">
      <c r="B29" s="39" t="inlineStr">
        <is>
          <t>0</t>
        </is>
      </c>
      <c r="C29" s="37" t="inlineStr">
        <is>
          <t>None, and no path to one</t>
        </is>
      </c>
      <c r="D29" s="40" t="inlineStr"/>
    </row>
    <row r="30" ht="10" customHeight="1"/>
    <row r="31" ht="22" customHeight="1">
      <c r="B31" s="7" t="inlineStr">
        <is>
          <t>SECTION B  ·  SCOPE   —   three marks per arena, 0 to 4</t>
        </is>
      </c>
    </row>
    <row r="32" ht="15" customHeight="1">
      <c r="B32" s="37" t="inlineStr">
        <is>
          <t>Each row names the area and what sits inside it, so the checklist is in front of you. Where Section C contradicts Section B, believe Section C.</t>
        </is>
      </c>
    </row>
    <row r="33" ht="28" customHeight="1">
      <c r="B33" s="37" t="inlineStr">
        <is>
          <t>The mark is the points. A 3 adds 3, a 0 adds nothing — there is no conversion to follow. Three marks of 0 to 4 give each arena 12 points, so Capacity, Scheduling and Engagement carry exactly the same weight.</t>
        </is>
      </c>
    </row>
    <row r="34" ht="28" customHeight="1">
      <c r="B34" s="37" t="inlineStr">
        <is>
          <t>Capacity's three areas map one to one. Scheduling and Engagement have four apiece, so the two that belong together are paired — demand with matching, and plan changes with the incentives used to fill them — rather than inventing a split the one-pager cannot carry.</t>
        </is>
      </c>
    </row>
    <row r="35" ht="21" customHeight="1">
      <c r="B35" s="39" t="inlineStr">
        <is>
          <t>4</t>
        </is>
      </c>
      <c r="C35" s="37" t="inlineStr">
        <is>
          <t>Most of it</t>
        </is>
      </c>
      <c r="D35" s="40" t="inlineStr"/>
    </row>
    <row r="36" ht="21" customHeight="1">
      <c r="B36" s="39" t="inlineStr">
        <is>
          <t>3</t>
        </is>
      </c>
      <c r="C36" s="37" t="inlineStr">
        <is>
          <t>More than half</t>
        </is>
      </c>
      <c r="D36" s="40" t="inlineStr"/>
    </row>
    <row r="37" ht="21" customHeight="1">
      <c r="B37" s="39" t="inlineStr">
        <is>
          <t>2</t>
        </is>
      </c>
      <c r="C37" s="37" t="inlineStr">
        <is>
          <t>About half</t>
        </is>
      </c>
      <c r="D37" s="40" t="inlineStr"/>
    </row>
    <row r="38" ht="21" customHeight="1">
      <c r="B38" s="39" t="inlineStr">
        <is>
          <t>1</t>
        </is>
      </c>
      <c r="C38" s="37" t="inlineStr">
        <is>
          <t>A corner of it</t>
        </is>
      </c>
      <c r="D38" s="40" t="inlineStr"/>
    </row>
    <row r="39" ht="21" customHeight="1">
      <c r="B39" s="39" t="inlineStr">
        <is>
          <t>0</t>
        </is>
      </c>
      <c r="C39" s="37" t="inlineStr">
        <is>
          <t>Nothing here</t>
        </is>
      </c>
      <c r="D39" s="40" t="inlineStr"/>
    </row>
    <row r="40" ht="28" customHeight="1">
      <c r="B40" s="37" t="inlineStr">
        <is>
          <t>Most of it is the ceiling on purpose. The scope on our one-pager is original and these are point solutions, so nobody will cover all of it — a rung for that would sit unused and squeeze everyone else into the bottom half of the scale. All six rungs here are live.</t>
        </is>
      </c>
    </row>
    <row r="41" ht="10" customHeight="1"/>
    <row r="42" ht="22" customHeight="1">
      <c r="B42" s="7" t="inlineStr">
        <is>
          <t>SECTION C  ·  SOPHISTICATION   —   one mark, 0 to 4</t>
        </is>
      </c>
    </row>
    <row r="43" ht="41" customHeight="1">
      <c r="B43" s="37" t="inlineStr">
        <is>
          <t>How much of the work the product does. This is the Read / Assist / Control language already in our workbook. Score what the product does, not how much the vendor wrote about it — a short answer describing an optimiser still scores 4. How it does it is a demo question, not a reason to mark it down.</t>
        </is>
      </c>
    </row>
    <row r="44" ht="21" customHeight="1">
      <c r="B44" s="39" t="inlineStr">
        <is>
          <t>4</t>
        </is>
      </c>
      <c r="C44" s="37" t="inlineStr">
        <is>
          <t>Runs it — decides across the whole picture, and re-decides when things change</t>
        </is>
      </c>
      <c r="D44" s="40" t="inlineStr"/>
    </row>
    <row r="45" ht="21" customHeight="1">
      <c r="B45" s="39" t="inlineStr">
        <is>
          <t>3</t>
        </is>
      </c>
      <c r="C45" s="37" t="inlineStr">
        <is>
          <t>Recommends it — works out the answer and proposes it; a person confirms</t>
        </is>
      </c>
      <c r="D45" s="40" t="inlineStr"/>
    </row>
    <row r="46" ht="21" customHeight="1">
      <c r="B46" s="39" t="inlineStr">
        <is>
          <t>2</t>
        </is>
      </c>
      <c r="C46" s="37" t="inlineStr">
        <is>
          <t>Checks it — applies rules and flags problems; a person still works it</t>
        </is>
      </c>
      <c r="D46" s="40" t="inlineStr"/>
    </row>
    <row r="47" ht="21" customHeight="1">
      <c r="B47" s="39" t="inlineStr">
        <is>
          <t>1</t>
        </is>
      </c>
      <c r="C47" s="37" t="inlineStr">
        <is>
          <t>Shows it — surfaces the information; a person does all the work</t>
        </is>
      </c>
      <c r="D47" s="40" t="inlineStr"/>
    </row>
    <row r="48" ht="21" customHeight="1">
      <c r="B48" s="39" t="inlineStr">
        <is>
          <t>0</t>
        </is>
      </c>
      <c r="C48" s="37" t="inlineStr">
        <is>
          <t>Not addressed</t>
        </is>
      </c>
      <c r="D48" s="40" t="inlineStr"/>
    </row>
    <row r="49" ht="15" customHeight="1">
      <c r="B49" s="37" t="inlineStr">
        <is>
          <t>A 4 is not automatically what we want. Where we said Assist, a product that decides on its own is a risk worth a note.</t>
        </is>
      </c>
    </row>
    <row r="50" ht="10" customHeight="1"/>
    <row r="51" ht="22" customHeight="1">
      <c r="B51" s="7" t="inlineStr">
        <is>
          <t>SECTION D  ·  CLINICIAN FIT   —   one mark, 0 to 4</t>
        </is>
      </c>
    </row>
    <row r="52" ht="21" customHeight="1">
      <c r="B52" s="39" t="inlineStr">
        <is>
          <t>4</t>
        </is>
      </c>
      <c r="C52" s="37" t="inlineStr">
        <is>
          <t>Strong fit</t>
        </is>
      </c>
      <c r="D52" s="40" t="inlineStr"/>
    </row>
    <row r="53" ht="21" customHeight="1">
      <c r="B53" s="39" t="inlineStr">
        <is>
          <t>3</t>
        </is>
      </c>
      <c r="C53" s="37" t="inlineStr">
        <is>
          <t>Good fit</t>
        </is>
      </c>
      <c r="D53" s="40" t="inlineStr"/>
    </row>
    <row r="54" ht="21" customHeight="1">
      <c r="B54" s="39" t="inlineStr">
        <is>
          <t>2</t>
        </is>
      </c>
      <c r="C54" s="37" t="inlineStr">
        <is>
          <t>Workable</t>
        </is>
      </c>
      <c r="D54" s="40" t="inlineStr"/>
    </row>
    <row r="55" ht="21" customHeight="1">
      <c r="B55" s="39" t="inlineStr">
        <is>
          <t>1</t>
        </is>
      </c>
      <c r="C55" s="37" t="inlineStr">
        <is>
          <t>Poor fit</t>
        </is>
      </c>
      <c r="D55" s="40" t="inlineStr"/>
    </row>
    <row r="56" ht="21" customHeight="1">
      <c r="B56" s="39" t="inlineStr">
        <is>
          <t>0</t>
        </is>
      </c>
      <c r="C56" s="37" t="inlineStr">
        <is>
          <t>Not answered</t>
        </is>
      </c>
      <c r="D56" s="40" t="inlineStr"/>
    </row>
    <row r="57" ht="28" customHeight="1">
      <c r="B57" s="37" t="inlineStr">
        <is>
          <t>No descriptions here on purpose. Read D1 to D3 and give it your own read. We know how our clinicians work and what they will accept; a rubric that spelled out what earns a 4 would only substitute a guess for that.</t>
        </is>
      </c>
    </row>
    <row r="58" ht="15" customHeight="1">
      <c r="B58" s="37" t="inlineStr">
        <is>
          <t>Say why in the Notes, though — that one line is what a colleague reads when they score the same vendor differently.</t>
        </is>
      </c>
    </row>
    <row r="59" ht="10" customHeight="1"/>
    <row r="60" ht="22" customHeight="1">
      <c r="B60" s="7" t="inlineStr">
        <is>
          <t>SECTION E  ·  PARTNERSHIP   —   one mark, 0 to 4</t>
        </is>
      </c>
    </row>
    <row r="61" ht="28" customHeight="1">
      <c r="B61" s="37" t="inlineStr">
        <is>
          <t>What we are looking for is a company with the willingness and the environment to build this with us around our needs — and open to us holding equity, so that a product for the general market becomes a real possibility. The rungs run from vendor to co-owner.</t>
        </is>
      </c>
    </row>
    <row r="62" ht="21" customHeight="1">
      <c r="B62" s="39" t="inlineStr">
        <is>
          <t>4</t>
        </is>
      </c>
      <c r="C62" s="37" t="inlineStr">
        <is>
          <t>Open to equity or a stake in what we build, and set up to build it with us</t>
        </is>
      </c>
      <c r="D62" s="40" t="inlineStr"/>
    </row>
    <row r="63" ht="21" customHeight="1">
      <c r="B63" s="39" t="inlineStr">
        <is>
          <t>3</t>
        </is>
      </c>
      <c r="C63" s="37" t="inlineStr">
        <is>
          <t>Ready to build to our needs as a design partner; ownership not addressed</t>
        </is>
      </c>
      <c r="D63" s="40" t="inlineStr"/>
    </row>
    <row r="64" ht="21" customHeight="1">
      <c r="B64" s="39" t="inlineStr">
        <is>
          <t>2</t>
        </is>
      </c>
      <c r="C64" s="37" t="inlineStr">
        <is>
          <t>Will take our input, but they own the roadmap and the product</t>
        </is>
      </c>
      <c r="D64" s="40" t="inlineStr"/>
    </row>
    <row r="65" ht="21" customHeight="1">
      <c r="B65" s="39" t="inlineStr">
        <is>
          <t>1</t>
        </is>
      </c>
      <c r="C65" s="37" t="inlineStr">
        <is>
          <t>A standard customer relationship — we buy what already exists</t>
        </is>
      </c>
      <c r="D65" s="40" t="inlineStr"/>
    </row>
    <row r="66" ht="21" customHeight="1">
      <c r="B66" s="39" t="inlineStr">
        <is>
          <t>0</t>
        </is>
      </c>
      <c r="C66" s="37" t="inlineStr">
        <is>
          <t>Not answered</t>
        </is>
      </c>
      <c r="D66" s="40" t="inlineStr"/>
    </row>
    <row r="67" ht="28" customHeight="1">
      <c r="B67" s="37" t="inlineStr">
        <is>
          <t>Read all four E answers, not only E2. A vendor who never mentions ownership but describes a real co-development practice is a 3, and worth the conversation. A discount is a discount.</t>
        </is>
      </c>
    </row>
    <row r="68" ht="10" customHeight="1"/>
    <row r="69" ht="22" customHeight="1">
      <c r="B69" s="7" t="inlineStr">
        <is>
          <t>THE THREE QUESTIONS THAT RAISE A FLAG INSTEAD</t>
        </is>
      </c>
    </row>
    <row r="70" ht="28" customHeight="1">
      <c r="B70" s="37" t="inlineStr">
        <is>
          <t>A vendor with no continuity commitment should be stopped and asked, not quietly docked a few points. Same for a vendor with one customer, or impact numbers with no baseline. Mark these OK, Watch or STOP-CHECK.</t>
        </is>
      </c>
    </row>
    <row r="71" ht="21" customHeight="1">
      <c r="B71" s="39" t="inlineStr">
        <is>
          <t>A2</t>
        </is>
      </c>
      <c r="C71" s="37" t="inlineStr">
        <is>
          <t>Customers, scale and references — STOP-CHECK if one customer, or no references offered</t>
        </is>
      </c>
      <c r="D71" s="40" t="inlineStr"/>
    </row>
    <row r="72" ht="21" customHeight="1">
      <c r="B72" s="39" t="inlineStr">
        <is>
          <t>A3</t>
        </is>
      </c>
      <c r="C72" s="37" t="inlineStr">
        <is>
          <t>Measured impact — Watch if claimed with no baseline or period</t>
        </is>
      </c>
      <c r="D72" s="40" t="inlineStr"/>
    </row>
    <row r="73" ht="21" customHeight="1">
      <c r="B73" s="39" t="inlineStr">
        <is>
          <t>C6</t>
        </is>
      </c>
      <c r="C73" s="37" t="inlineStr">
        <is>
          <t>When your product is down — STOP-CHECK if no uptime figure or contractual commitment</t>
        </is>
      </c>
      <c r="D73" s="40" t="inlineStr"/>
    </row>
    <row r="74" ht="10" customHeight="1"/>
    <row r="75" ht="22" customHeight="1">
      <c r="B75" s="7" t="inlineStr">
        <is>
          <t>BANDS   —   the same as the full scorecard</t>
        </is>
      </c>
    </row>
    <row r="76" ht="21" customHeight="1">
      <c r="B76" s="39" t="inlineStr">
        <is>
          <t>80–100</t>
        </is>
      </c>
      <c r="C76" s="37" t="inlineStr">
        <is>
          <t>Advance — demo, references, deeper diligence</t>
        </is>
      </c>
      <c r="D76" s="40" t="inlineStr"/>
    </row>
    <row r="77" ht="21" customHeight="1">
      <c r="B77" s="39" t="inlineStr">
        <is>
          <t>65–79</t>
        </is>
      </c>
      <c r="C77" s="37" t="inlineStr">
        <is>
          <t>Consider — only if something specific justifies it</t>
        </is>
      </c>
      <c r="D77" s="40" t="inlineStr"/>
    </row>
    <row r="78" ht="21" customHeight="1">
      <c r="B78" s="39" t="inlineStr">
        <is>
          <t>50–64</t>
        </is>
      </c>
      <c r="C78" s="37" t="inlineStr">
        <is>
          <t>Hold — park unless the field thins</t>
        </is>
      </c>
      <c r="D78" s="40" t="inlineStr"/>
    </row>
    <row r="79" ht="21" customHeight="1">
      <c r="B79" s="39" t="inlineStr">
        <is>
          <t>&lt; 50</t>
        </is>
      </c>
      <c r="C79" s="37" t="inlineStr">
        <is>
          <t>Decline — close out with thanks</t>
        </is>
      </c>
      <c r="D79" s="40" t="inlineStr"/>
    </row>
    <row r="80" ht="34" customHeight="1">
      <c r="B80" s="39" t="inlineStr">
        <is>
          <t>Conditional</t>
        </is>
      </c>
      <c r="C80" s="37" t="inlineStr">
        <is>
          <t>Shown whenever the integration is not yet live. Advancing means accepting an integration still to be built, on their timeline, at our risk.</t>
        </is>
      </c>
      <c r="D80" s="40" t="inlineStr"/>
    </row>
    <row r="82">
      <c r="B82" s="42" t="inlineStr">
        <is>
          <t>Fast scorecard v2.0  ·  questionnaire form_version 2026-08-19</t>
        </is>
      </c>
    </row>
  </sheetData>
  <mergeCells count="24">
    <mergeCell ref="B11:D11"/>
    <mergeCell ref="B42:D42"/>
    <mergeCell ref="B60:D60"/>
    <mergeCell ref="B67:D67"/>
    <mergeCell ref="B23:D23"/>
    <mergeCell ref="B61:D61"/>
    <mergeCell ref="B57:D57"/>
    <mergeCell ref="B8:D8"/>
    <mergeCell ref="B69:D69"/>
    <mergeCell ref="B34:D34"/>
    <mergeCell ref="B49:D49"/>
    <mergeCell ref="B40:D40"/>
    <mergeCell ref="B9:D9"/>
    <mergeCell ref="B51:D51"/>
    <mergeCell ref="B33:D33"/>
    <mergeCell ref="B32:D32"/>
    <mergeCell ref="B4:D4"/>
    <mergeCell ref="B75:D75"/>
    <mergeCell ref="B7:D7"/>
    <mergeCell ref="B31:D31"/>
    <mergeCell ref="B22:D22"/>
    <mergeCell ref="B58:D58"/>
    <mergeCell ref="B70:D70"/>
    <mergeCell ref="B43:D4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K7"/>
  <sheetViews>
    <sheetView workbookViewId="0">
      <selection activeCell="A1" sqref="A1"/>
    </sheetView>
  </sheetViews>
  <sheetFormatPr baseColWidth="8" defaultRowHeight="15"/>
  <cols>
    <col width="48" customWidth="1" min="2" max="2"/>
    <col width="48" customWidth="1" min="5" max="5"/>
    <col width="48" customWidth="1" min="7" max="7"/>
    <col width="48" customWidth="1" min="9" max="9"/>
    <col width="48" customWidth="1" min="11" max="11"/>
  </cols>
  <sheetData>
    <row r="1">
      <c r="B1" s="1" t="inlineStr">
        <is>
          <t>A1 rung</t>
        </is>
      </c>
      <c r="C1" s="1" t="inlineStr">
        <is>
          <t>Points</t>
        </is>
      </c>
      <c r="E1" s="1" t="inlineStr">
        <is>
          <t>Scope</t>
        </is>
      </c>
      <c r="G1" s="1" t="inlineStr">
        <is>
          <t>Sophistication</t>
        </is>
      </c>
      <c r="I1" s="1" t="inlineStr">
        <is>
          <t>Clinician</t>
        </is>
      </c>
      <c r="K1" s="1" t="inlineStr">
        <is>
          <t>Partnership</t>
        </is>
      </c>
    </row>
    <row r="2">
      <c r="B2" t="inlineStr">
        <is>
          <t>Live — established customer base</t>
        </is>
      </c>
      <c r="C2" t="n">
        <v>20</v>
      </c>
      <c r="E2" t="inlineStr">
        <is>
          <t>0 — Nothing here</t>
        </is>
      </c>
      <c r="G2" t="inlineStr">
        <is>
          <t>0 — Not addressed</t>
        </is>
      </c>
      <c r="I2" t="inlineStr">
        <is>
          <t>0 — Not answered</t>
        </is>
      </c>
      <c r="K2" t="inlineStr">
        <is>
          <t>0 — Not answered</t>
        </is>
      </c>
    </row>
    <row r="3">
      <c r="B3" t="inlineStr">
        <is>
          <t>Live — small customer base</t>
        </is>
      </c>
      <c r="C3" t="n">
        <v>16</v>
      </c>
      <c r="E3" t="inlineStr">
        <is>
          <t>1 — A corner of it</t>
        </is>
      </c>
      <c r="G3" t="inlineStr">
        <is>
          <t>1 — Shows it</t>
        </is>
      </c>
      <c r="I3" t="inlineStr">
        <is>
          <t>1 — Poor fit</t>
        </is>
      </c>
      <c r="K3" t="inlineStr">
        <is>
          <t>1 — A standard customer relationship — we buy what already exists</t>
        </is>
      </c>
    </row>
    <row r="4">
      <c r="B4" t="inlineStr">
        <is>
          <t>Live — through a partner</t>
        </is>
      </c>
      <c r="C4" t="n">
        <v>12</v>
      </c>
      <c r="E4" t="inlineStr">
        <is>
          <t>2 — About half</t>
        </is>
      </c>
      <c r="G4" t="inlineStr">
        <is>
          <t>2 — Checks it</t>
        </is>
      </c>
      <c r="I4" t="inlineStr">
        <is>
          <t>2 — Workable</t>
        </is>
      </c>
      <c r="K4" t="inlineStr">
        <is>
          <t>2 — Will take our input, but they own the roadmap and the product</t>
        </is>
      </c>
    </row>
    <row r="5">
      <c r="B5" t="inlineStr">
        <is>
          <t>In development — with a date</t>
        </is>
      </c>
      <c r="C5" t="n">
        <v>6</v>
      </c>
      <c r="E5" t="inlineStr">
        <is>
          <t>3 — More than half</t>
        </is>
      </c>
      <c r="G5" t="inlineStr">
        <is>
          <t>3 — Recommends it</t>
        </is>
      </c>
      <c r="I5" t="inlineStr">
        <is>
          <t>3 — Good fit</t>
        </is>
      </c>
      <c r="K5" t="inlineStr">
        <is>
          <t>3 — Ready to build to our needs as a design partner; ownership not addressed</t>
        </is>
      </c>
    </row>
    <row r="6">
      <c r="B6" t="inlineStr">
        <is>
          <t>On the roadmap — no date</t>
        </is>
      </c>
      <c r="C6" t="n">
        <v>2</v>
      </c>
      <c r="E6" t="inlineStr">
        <is>
          <t>4 — Most of it</t>
        </is>
      </c>
      <c r="G6" t="inlineStr">
        <is>
          <t>4 — Runs it</t>
        </is>
      </c>
      <c r="I6" t="inlineStr">
        <is>
          <t>4 — Strong fit</t>
        </is>
      </c>
      <c r="K6" t="inlineStr">
        <is>
          <t>4 — Open to equity or a stake in what we build, and set up to build it with us</t>
        </is>
      </c>
    </row>
    <row r="7">
      <c r="B7" t="inlineStr">
        <is>
          <t>None, and no path to one</t>
        </is>
      </c>
      <c r="C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2026-09-03T18:53:15Z</dcterms:created>
  <dcterms:modified xsi:type="dcterms:W3CDTF">2026-09-03T18:53:15Z</dcterms:modified>
</cp:coreProperties>
</file>