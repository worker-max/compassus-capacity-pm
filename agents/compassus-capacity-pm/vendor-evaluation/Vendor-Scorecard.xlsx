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 name="_xlnm.Print_Titles" localSheetId="0">'Example'!$2:$5,'Example'!$B:$E</definedName>
    <definedName name="_xlnm.Print_Titles" localSheetId="1">'Scorecard'!$2:$5,'Scorecard'!$B:$E</definedName>
    <definedName name="_xlnm.Print_Titles" localSheetId="3">'Questions'!$5:$5,'Questions'!$B:$C</definedName>
  </definedNames>
  <calcPr calcId="124519" fullCalcOnLoad="1"/>
</workbook>
</file>

<file path=xl/styles.xml><?xml version="1.0" encoding="utf-8"?>
<styleSheet xmlns="http://schemas.openxmlformats.org/spreadsheetml/2006/main">
  <numFmts count="1">
    <numFmt numFmtId="164" formatCode="0.0"/>
  </numFmts>
  <fonts count="29">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9A7B15"/>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9A7B15"/>
      <sz val="11"/>
    </font>
    <font>
      <name val="Aptos Narrow"/>
      <b val="1"/>
      <color rgb="001B211E"/>
      <sz val="14"/>
    </font>
    <font>
      <name val="Aptos Narrow"/>
      <b val="1"/>
      <color rgb="005A6560"/>
      <sz val="8"/>
    </font>
    <font>
      <name val="Aptos Narrow"/>
      <b val="1"/>
      <color rgb="001B211E"/>
      <sz val="10"/>
    </font>
    <font>
      <name val="Aptos Narrow"/>
      <b val="1"/>
      <color rgb="00792E2E"/>
      <sz val="10"/>
    </font>
    <font>
      <name val="Aptos Narrow"/>
      <color rgb="009A7B15"/>
      <sz val="10"/>
    </font>
    <font>
      <name val="Aptos Narrow"/>
      <color rgb="001F6F78"/>
      <sz val="10"/>
    </font>
    <font>
      <name val="Aptos Narrow"/>
      <color rgb="002E599D"/>
      <sz val="10"/>
    </font>
    <font>
      <name val="Aptos Narrow"/>
      <color rgb="004E8A5B"/>
      <sz val="10"/>
    </font>
    <font>
      <name val="Aptos Narrow"/>
      <color rgb="006B4E96"/>
      <sz val="10"/>
    </font>
    <font>
      <name val="Aptos Narrow"/>
      <color rgb="001B211E"/>
      <sz val="9"/>
    </font>
    <font>
      <name val="Aptos Narrow"/>
      <b val="1"/>
      <color rgb="001F6F78"/>
      <sz val="11"/>
    </font>
    <font>
      <name val="Aptos Narrow"/>
      <b val="1"/>
      <color rgb="002E599D"/>
      <sz val="11"/>
    </font>
    <font>
      <name val="Aptos Narrow"/>
      <b val="1"/>
      <color rgb="004E8A5B"/>
      <sz val="11"/>
    </font>
    <font>
      <name val="Aptos Narrow"/>
      <b val="1"/>
      <color rgb="006B4E96"/>
      <sz val="11"/>
    </font>
    <font>
      <name val="Aptos Narrow"/>
      <color rgb="005A6560"/>
      <sz val="10"/>
    </font>
    <font>
      <name val="Aptos Narrow"/>
      <b val="1"/>
      <color rgb="00792E2E"/>
      <sz val="9"/>
    </font>
    <font>
      <name val="Aptos Narrow"/>
      <b val="1"/>
      <color rgb="001B211E"/>
      <sz val="15"/>
    </font>
  </fonts>
  <fills count="13">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BFBF8"/>
      </patternFill>
    </fill>
    <fill>
      <patternFill patternType="solid">
        <fgColor rgb="0044566B"/>
      </patternFill>
    </fill>
    <fill>
      <patternFill patternType="solid">
        <fgColor rgb="00F1F2ED"/>
      </patternFill>
    </fill>
    <fill>
      <patternFill patternType="solid">
        <fgColor rgb="001F6F78"/>
      </patternFill>
    </fill>
    <fill>
      <patternFill patternType="solid">
        <fgColor rgb="002E599D"/>
      </patternFill>
    </fill>
    <fill>
      <patternFill patternType="solid">
        <fgColor rgb="004E8A5B"/>
      </patternFill>
    </fill>
    <fill>
      <patternFill patternType="solid">
        <fgColor rgb="00792E2E"/>
      </patternFill>
    </fill>
    <fill>
      <patternFill patternType="solid">
        <fgColor rgb="00FFFFFF"/>
      </patternFill>
    </fill>
  </fills>
  <borders count="5">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medium">
        <color rgb="008E9891"/>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68">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horizontal="left" vertical="center"/>
    </xf>
    <xf numFmtId="0" fontId="10" fillId="0" borderId="0" applyAlignment="1" pivotButton="0" quotePrefix="0" xfId="0">
      <alignment horizontal="left" vertical="center" indent="1"/>
    </xf>
    <xf numFmtId="0" fontId="13" fillId="0" borderId="0" applyAlignment="1" pivotButton="0" quotePrefix="0" xfId="0">
      <alignment horizontal="center" vertical="bottom"/>
    </xf>
    <xf numFmtId="0" fontId="13" fillId="0" borderId="0" applyAlignment="1" pivotButton="0" quotePrefix="0" xfId="0">
      <alignment horizontal="left" vertical="bottom"/>
    </xf>
    <xf numFmtId="0" fontId="14" fillId="5" borderId="2" applyAlignment="1" pivotButton="0" quotePrefix="0" xfId="0">
      <alignment horizontal="center" vertical="bottom"/>
    </xf>
    <xf numFmtId="0" fontId="13" fillId="5" borderId="2" applyAlignment="1" pivotButton="0" quotePrefix="0" xfId="0">
      <alignment horizontal="left" vertical="bottom"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164" fontId="12" fillId="12" borderId="4" applyAlignment="1" pivotButton="0" quotePrefix="0" xfId="0">
      <alignment horizontal="center" vertical="center" wrapText="1"/>
    </xf>
    <xf numFmtId="0" fontId="21" fillId="3" borderId="1" applyAlignment="1" pivotButton="0" quotePrefix="0" xfId="0">
      <alignment horizontal="left" vertical="top" wrapText="1"/>
    </xf>
    <xf numFmtId="0" fontId="14" fillId="0" borderId="0" applyAlignment="1" pivotButton="0" quotePrefix="0" xfId="0">
      <alignment horizontal="left" vertical="center" wrapText="1"/>
    </xf>
    <xf numFmtId="0" fontId="27" fillId="3" borderId="1" applyAlignment="1" pivotButton="0" quotePrefix="0" xfId="0">
      <alignment horizontal="center" vertical="center" wrapText="1"/>
    </xf>
    <xf numFmtId="0" fontId="15" fillId="0" borderId="0" applyAlignment="1" pivotButton="0" quotePrefix="0" xfId="0">
      <alignment horizontal="left" vertical="center" wrapText="1"/>
    </xf>
    <xf numFmtId="1" fontId="15" fillId="3" borderId="1" applyAlignment="1" pivotButton="0" quotePrefix="0" xfId="0">
      <alignment horizontal="center" vertical="center" wrapText="1"/>
    </xf>
    <xf numFmtId="0" fontId="4" fillId="6" borderId="0" applyAlignment="1" pivotButton="0" quotePrefix="0" xfId="0">
      <alignment horizontal="left" vertical="center" indent="1"/>
    </xf>
    <xf numFmtId="0" fontId="16" fillId="0" borderId="0" applyAlignment="1" pivotButton="0" quotePrefix="0" xfId="0">
      <alignment horizontal="left" vertical="center" wrapText="1"/>
    </xf>
    <xf numFmtId="9" fontId="14" fillId="3" borderId="1" applyAlignment="1" pivotButton="0" quotePrefix="0" xfId="0">
      <alignment horizontal="center" vertical="center" wrapText="1"/>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4" fillId="2" borderId="0" applyAlignment="1" pivotButton="0" quotePrefix="0" xfId="0">
      <alignment horizontal="left" vertical="center" indent="1"/>
    </xf>
    <xf numFmtId="0" fontId="7" fillId="7" borderId="0" applyAlignment="1" pivotButton="0" quotePrefix="0" xfId="0">
      <alignment horizontal="center" vertical="center" wrapText="1"/>
    </xf>
    <xf numFmtId="0" fontId="8" fillId="7" borderId="0" applyAlignment="1" pivotButton="0" quotePrefix="0" xfId="0">
      <alignment horizontal="left" vertical="center" wrapText="1"/>
    </xf>
    <xf numFmtId="0" fontId="7" fillId="7" borderId="0" applyAlignment="1" pivotButton="0" quotePrefix="0" xfId="0">
      <alignment horizontal="left" vertical="center" wrapText="1"/>
    </xf>
    <xf numFmtId="1" fontId="11" fillId="7" borderId="0" applyAlignment="1" pivotButton="0" quotePrefix="0" xfId="0">
      <alignment horizontal="center" vertical="center" wrapText="1"/>
    </xf>
    <xf numFmtId="0" fontId="5" fillId="7" borderId="3" applyAlignment="1" pivotButton="0" quotePrefix="0" xfId="0">
      <alignment horizontal="center" vertical="center" wrapText="1"/>
    </xf>
    <xf numFmtId="0" fontId="21" fillId="7" borderId="1" applyAlignment="1" pivotButton="0" quotePrefix="0" xfId="0">
      <alignment horizontal="left" vertical="top" wrapText="1"/>
    </xf>
    <xf numFmtId="0" fontId="7" fillId="5" borderId="0" applyAlignment="1" pivotButton="0" quotePrefix="0" xfId="0">
      <alignment horizontal="center" vertical="center" wrapText="1"/>
    </xf>
    <xf numFmtId="0" fontId="8" fillId="5" borderId="0" applyAlignment="1" pivotButton="0" quotePrefix="0" xfId="0">
      <alignment horizontal="left" vertical="center" wrapText="1"/>
    </xf>
    <xf numFmtId="0" fontId="7" fillId="5" borderId="0" applyAlignment="1" pivotButton="0" quotePrefix="0" xfId="0">
      <alignment horizontal="left" vertical="center" wrapText="1"/>
    </xf>
    <xf numFmtId="0" fontId="5" fillId="5" borderId="0" applyAlignment="1" pivotButton="0" quotePrefix="0" xfId="0">
      <alignment horizontal="center" vertical="center" wrapText="1"/>
    </xf>
    <xf numFmtId="0" fontId="5" fillId="5" borderId="3" applyAlignment="1" pivotButton="0" quotePrefix="0" xfId="0">
      <alignment horizontal="center" vertical="center" wrapText="1"/>
    </xf>
    <xf numFmtId="0" fontId="21" fillId="5" borderId="1" applyAlignment="1" pivotButton="0" quotePrefix="0" xfId="0">
      <alignment horizontal="left" vertical="top" wrapText="1"/>
    </xf>
    <xf numFmtId="0" fontId="4" fillId="8" borderId="0" applyAlignment="1" pivotButton="0" quotePrefix="0" xfId="0">
      <alignment horizontal="left" vertical="center" indent="1"/>
    </xf>
    <xf numFmtId="1" fontId="22" fillId="5" borderId="0" applyAlignment="1" pivotButton="0" quotePrefix="0" xfId="0">
      <alignment horizontal="center" vertical="center"/>
    </xf>
    <xf numFmtId="0" fontId="4" fillId="9" borderId="0" applyAlignment="1" pivotButton="0" quotePrefix="0" xfId="0">
      <alignment horizontal="left" vertical="center" indent="1"/>
    </xf>
    <xf numFmtId="1" fontId="23" fillId="7" borderId="0" applyAlignment="1" pivotButton="0" quotePrefix="0" xfId="0">
      <alignment horizontal="center" vertical="center"/>
    </xf>
    <xf numFmtId="0" fontId="4" fillId="10" borderId="0" applyAlignment="1" pivotButton="0" quotePrefix="0" xfId="0">
      <alignment horizontal="left" vertical="center" indent="1"/>
    </xf>
    <xf numFmtId="1" fontId="24" fillId="5" borderId="0" applyAlignment="1" pivotButton="0" quotePrefix="0" xfId="0">
      <alignment horizontal="center" vertical="center"/>
    </xf>
    <xf numFmtId="1" fontId="25" fillId="7" borderId="0" applyAlignment="1" pivotButton="0" quotePrefix="0" xfId="0">
      <alignment horizontal="center" vertical="center" wrapText="1"/>
    </xf>
    <xf numFmtId="1" fontId="8" fillId="7" borderId="0" applyAlignment="1" pivotButton="0" quotePrefix="0" xfId="0">
      <alignment horizontal="center" vertical="center" wrapText="1"/>
    </xf>
    <xf numFmtId="0" fontId="10" fillId="0" borderId="0" applyAlignment="1" pivotButton="0" quotePrefix="0" xfId="0">
      <alignment horizontal="left" vertical="center" wrapText="1"/>
    </xf>
    <xf numFmtId="0" fontId="4" fillId="11" borderId="0" applyAlignment="1" pivotButton="0" quotePrefix="0" xfId="0">
      <alignment horizontal="left" vertical="center" indent="1"/>
    </xf>
    <xf numFmtId="0" fontId="15" fillId="0" borderId="0" applyAlignment="1" pivotButton="0" quotePrefix="0" xfId="0">
      <alignment horizontal="left" vertical="top" wrapText="1"/>
    </xf>
    <xf numFmtId="0" fontId="10" fillId="0" borderId="0" applyAlignment="1" pivotButton="0" quotePrefix="0" xfId="0">
      <alignment horizontal="left" vertical="top" wrapText="1"/>
    </xf>
    <xf numFmtId="0" fontId="26"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28"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bottom"/>
    </xf>
    <xf numFmtId="0" fontId="14" fillId="5" borderId="2" applyAlignment="1" pivotButton="0" quotePrefix="0" xfId="0">
      <alignment horizontal="center" vertical="bottom" wrapText="1"/>
    </xf>
    <xf numFmtId="0" fontId="26" fillId="7" borderId="0" applyAlignment="1" pivotButton="0" quotePrefix="0" xfId="0">
      <alignment horizontal="center" vertical="center" wrapText="1"/>
    </xf>
    <xf numFmtId="0" fontId="5" fillId="5" borderId="3" applyAlignment="1" pivotButton="0" quotePrefix="0" xfId="0">
      <alignment horizontal="left" vertical="top" wrapText="1"/>
    </xf>
  </cellXfs>
  <cellStyles count="1">
    <cellStyle name="Normal" xfId="0" builtinId="0" hidden="0"/>
  </cellStyles>
  <dxfs count="3">
    <dxf>
      <font>
        <b val="1"/>
        <color rgb="006E1F1F"/>
      </font>
      <fill>
        <patternFill patternType="solid">
          <fgColor rgb="00E8B4B4"/>
        </patternFill>
      </fill>
    </dxf>
    <dxf>
      <font>
        <b val="1"/>
        <color rgb="006B5410"/>
      </font>
      <fill>
        <patternFill patternType="solid">
          <fgColor rgb="00F0DCA8"/>
        </patternFill>
      </fill>
    </dxf>
    <dxf>
      <font>
        <b val="1"/>
        <color rgb="0024512F"/>
      </font>
      <fill>
        <patternFill patternType="solid">
          <fgColor rgb="00BFDC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fitToPage="1"/>
  </sheetPr>
  <dimension ref="B1:AK56"/>
  <sheetViews>
    <sheetView showGridLines="0" tabSelected="0" zoomScale="100" workbookViewId="0">
      <pane xSplit="5" ySplit="5" topLeftCell="F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1" ht="22" customHeight="1">
      <c r="C1" s="1" t="inlineStr">
        <is>
          <t>Vendor Scorecard</t>
        </is>
      </c>
      <c r="D1" s="2" t="inlineStr">
        <is>
          <t>COMPASSUS  ·  CAPACITY &amp; SCHEDULING</t>
        </is>
      </c>
      <c r="F1" s="3" t="inlineStr">
        <is>
          <t>A worked example. These three vendors are invented — every score beside them is this sheet's own formulas. Score on the Scorecard tab, not this one.</t>
        </is>
      </c>
    </row>
    <row r="2" ht="20" customHeight="1">
      <c r="B2" s="4" t="inlineStr">
        <is>
          <t>Q</t>
        </is>
      </c>
      <c r="C2" s="5" t="inlineStr">
        <is>
          <t>CRITERION</t>
        </is>
      </c>
      <c r="D2" s="5" t="inlineStr">
        <is>
          <t>WHAT IT COVERS</t>
        </is>
      </c>
      <c r="E2" s="4" t="inlineStr">
        <is>
          <t>WT</t>
        </is>
      </c>
      <c r="F2" s="6" t="inlineStr">
        <is>
          <t>Arbor Health Logistics</t>
        </is>
      </c>
      <c r="G2" s="7" t="inlineStr">
        <is>
          <t>NOTES  ·  JUSTIFICATION  ·  CLAIM vs EVIDENCE</t>
        </is>
      </c>
      <c r="H2" s="6" t="inlineStr">
        <is>
          <t>Wayfinder Scheduling</t>
        </is>
      </c>
      <c r="I2" s="7" t="inlineStr">
        <is>
          <t>NOTES  ·  JUSTIFICATION  ·  CLAIM vs EVIDENCE</t>
        </is>
      </c>
      <c r="J2" s="6" t="inlineStr">
        <is>
          <t>Northlight Health</t>
        </is>
      </c>
      <c r="K2" s="7" t="inlineStr">
        <is>
          <t>NOTES  ·  JUSTIFICATION  ·  CLAIM vs EVIDENCE</t>
        </is>
      </c>
      <c r="L2" s="6" t="inlineStr">
        <is>
          <t>Vendor 04</t>
        </is>
      </c>
      <c r="M2" s="7" t="inlineStr">
        <is>
          <t>NOTES  ·  JUSTIFICATION  ·  CLAIM vs EVIDENCE</t>
        </is>
      </c>
      <c r="N2" s="6" t="inlineStr">
        <is>
          <t>Vendor 05</t>
        </is>
      </c>
      <c r="O2" s="7" t="inlineStr">
        <is>
          <t>NOTES  ·  JUSTIFICATION  ·  CLAIM vs EVIDENCE</t>
        </is>
      </c>
      <c r="P2" s="6" t="inlineStr">
        <is>
          <t>Vendor 06</t>
        </is>
      </c>
      <c r="Q2" s="7" t="inlineStr">
        <is>
          <t>NOTES  ·  JUSTIFICATION  ·  CLAIM vs EVIDENCE</t>
        </is>
      </c>
      <c r="R2" s="6" t="inlineStr">
        <is>
          <t>Vendor 07</t>
        </is>
      </c>
      <c r="S2" s="7" t="inlineStr">
        <is>
          <t>NOTES  ·  JUSTIFICATION  ·  CLAIM vs EVIDENCE</t>
        </is>
      </c>
      <c r="T2" s="6" t="inlineStr">
        <is>
          <t>Vendor 08</t>
        </is>
      </c>
      <c r="U2" s="7" t="inlineStr">
        <is>
          <t>NOTES  ·  JUSTIFICATION  ·  CLAIM vs EVIDENCE</t>
        </is>
      </c>
      <c r="V2" s="6" t="inlineStr">
        <is>
          <t>Vendor 09</t>
        </is>
      </c>
      <c r="W2" s="7" t="inlineStr">
        <is>
          <t>NOTES  ·  JUSTIFICATION  ·  CLAIM vs EVIDENCE</t>
        </is>
      </c>
      <c r="X2" s="6" t="inlineStr">
        <is>
          <t>Vendor 10</t>
        </is>
      </c>
      <c r="Y2" s="7" t="inlineStr">
        <is>
          <t>NOTES  ·  JUSTIFICATION  ·  CLAIM vs EVIDENCE</t>
        </is>
      </c>
      <c r="Z2" s="6" t="inlineStr">
        <is>
          <t>Vendor 11</t>
        </is>
      </c>
      <c r="AA2" s="7" t="inlineStr">
        <is>
          <t>NOTES  ·  JUSTIFICATION  ·  CLAIM vs EVIDENCE</t>
        </is>
      </c>
      <c r="AB2" s="6" t="inlineStr">
        <is>
          <t>Vendor 12</t>
        </is>
      </c>
      <c r="AC2" s="7" t="inlineStr">
        <is>
          <t>NOTES  ·  JUSTIFICATION  ·  CLAIM vs EVIDENCE</t>
        </is>
      </c>
      <c r="AD2" s="6" t="inlineStr">
        <is>
          <t>Vendor 13</t>
        </is>
      </c>
      <c r="AE2" s="7" t="inlineStr">
        <is>
          <t>NOTES  ·  JUSTIFICATION  ·  CLAIM vs EVIDENCE</t>
        </is>
      </c>
      <c r="AF2" s="6" t="inlineStr">
        <is>
          <t>Vendor 14</t>
        </is>
      </c>
      <c r="AG2" s="7" t="inlineStr">
        <is>
          <t>NOTES  ·  JUSTIFICATION  ·  CLAIM vs EVIDENCE</t>
        </is>
      </c>
      <c r="AH2" s="6" t="inlineStr">
        <is>
          <t>Vendor 15</t>
        </is>
      </c>
      <c r="AI2" s="7" t="inlineStr">
        <is>
          <t>NOTES  ·  JUSTIFICATION  ·  CLAIM vs EVIDENCE</t>
        </is>
      </c>
      <c r="AJ2" s="6" t="inlineStr">
        <is>
          <t>Vendor 16</t>
        </is>
      </c>
      <c r="AK2" s="7" t="inlineStr">
        <is>
          <t>NOTES  ·  JUSTIFICATION  ·  CLAIM vs EVIDENCE</t>
        </is>
      </c>
    </row>
    <row r="3" ht="22" customHeight="1">
      <c r="C3" s="8" t="inlineStr">
        <is>
          <t>TOTAL</t>
        </is>
      </c>
      <c r="D3" s="9" t="inlineStr">
        <is>
          <t>weighted, of 100</t>
        </is>
      </c>
      <c r="F3" s="10">
        <f>IF(F17="","",F8*'Start Here'!$C$10+F9*'Start Here'!$C$11+F10*'Start Here'!$C$12+F11*'Start Here'!$C$13+F12*'Start Here'!$C$14+F13*'Start Here'!$C$15+F14*'Start Here'!$C$16)</f>
        <v/>
      </c>
      <c r="G3" s="11" t="n"/>
      <c r="H3" s="10">
        <f>IF(H17="","",H8*'Start Here'!$C$10+H9*'Start Here'!$C$11+H10*'Start Here'!$C$12+H11*'Start Here'!$C$13+H12*'Start Here'!$C$14+H13*'Start Here'!$C$15+H14*'Start Here'!$C$16)</f>
        <v/>
      </c>
      <c r="I3" s="11" t="n"/>
      <c r="J3" s="10">
        <f>IF(J17="","",J8*'Start Here'!$C$10+J9*'Start Here'!$C$11+J10*'Start Here'!$C$12+J11*'Start Here'!$C$13+J12*'Start Here'!$C$14+J13*'Start Here'!$C$15+J14*'Start Here'!$C$16)</f>
        <v/>
      </c>
      <c r="K3" s="11" t="n"/>
      <c r="L3" s="10">
        <f>IF(L17="","",L8*'Start Here'!$C$10+L9*'Start Here'!$C$11+L10*'Start Here'!$C$12+L11*'Start Here'!$C$13+L12*'Start Here'!$C$14+L13*'Start Here'!$C$15+L14*'Start Here'!$C$16)</f>
        <v/>
      </c>
      <c r="M3" s="11" t="n"/>
      <c r="N3" s="10">
        <f>IF(N17="","",N8*'Start Here'!$C$10+N9*'Start Here'!$C$11+N10*'Start Here'!$C$12+N11*'Start Here'!$C$13+N12*'Start Here'!$C$14+N13*'Start Here'!$C$15+N14*'Start Here'!$C$16)</f>
        <v/>
      </c>
      <c r="O3" s="11" t="n"/>
      <c r="P3" s="10">
        <f>IF(P17="","",P8*'Start Here'!$C$10+P9*'Start Here'!$C$11+P10*'Start Here'!$C$12+P11*'Start Here'!$C$13+P12*'Start Here'!$C$14+P13*'Start Here'!$C$15+P14*'Start Here'!$C$16)</f>
        <v/>
      </c>
      <c r="Q3" s="11" t="n"/>
      <c r="R3" s="10">
        <f>IF(R17="","",R8*'Start Here'!$C$10+R9*'Start Here'!$C$11+R10*'Start Here'!$C$12+R11*'Start Here'!$C$13+R12*'Start Here'!$C$14+R13*'Start Here'!$C$15+R14*'Start Here'!$C$16)</f>
        <v/>
      </c>
      <c r="S3" s="11" t="n"/>
      <c r="T3" s="10">
        <f>IF(T17="","",T8*'Start Here'!$C$10+T9*'Start Here'!$C$11+T10*'Start Here'!$C$12+T11*'Start Here'!$C$13+T12*'Start Here'!$C$14+T13*'Start Here'!$C$15+T14*'Start Here'!$C$16)</f>
        <v/>
      </c>
      <c r="U3" s="11" t="n"/>
      <c r="V3" s="10">
        <f>IF(V17="","",V8*'Start Here'!$C$10+V9*'Start Here'!$C$11+V10*'Start Here'!$C$12+V11*'Start Here'!$C$13+V12*'Start Here'!$C$14+V13*'Start Here'!$C$15+V14*'Start Here'!$C$16)</f>
        <v/>
      </c>
      <c r="W3" s="11" t="n"/>
      <c r="X3" s="10">
        <f>IF(X17="","",X8*'Start Here'!$C$10+X9*'Start Here'!$C$11+X10*'Start Here'!$C$12+X11*'Start Here'!$C$13+X12*'Start Here'!$C$14+X13*'Start Here'!$C$15+X14*'Start Here'!$C$16)</f>
        <v/>
      </c>
      <c r="Y3" s="11" t="n"/>
      <c r="Z3" s="10">
        <f>IF(Z17="","",Z8*'Start Here'!$C$10+Z9*'Start Here'!$C$11+Z10*'Start Here'!$C$12+Z11*'Start Here'!$C$13+Z12*'Start Here'!$C$14+Z13*'Start Here'!$C$15+Z14*'Start Here'!$C$16)</f>
        <v/>
      </c>
      <c r="AA3" s="11" t="n"/>
      <c r="AB3" s="10">
        <f>IF(AB17="","",AB8*'Start Here'!$C$10+AB9*'Start Here'!$C$11+AB10*'Start Here'!$C$12+AB11*'Start Here'!$C$13+AB12*'Start Here'!$C$14+AB13*'Start Here'!$C$15+AB14*'Start Here'!$C$16)</f>
        <v/>
      </c>
      <c r="AC3" s="11" t="n"/>
      <c r="AD3" s="10">
        <f>IF(AD17="","",AD8*'Start Here'!$C$10+AD9*'Start Here'!$C$11+AD10*'Start Here'!$C$12+AD11*'Start Here'!$C$13+AD12*'Start Here'!$C$14+AD13*'Start Here'!$C$15+AD14*'Start Here'!$C$16)</f>
        <v/>
      </c>
      <c r="AE3" s="11" t="n"/>
      <c r="AF3" s="10">
        <f>IF(AF17="","",AF8*'Start Here'!$C$10+AF9*'Start Here'!$C$11+AF10*'Start Here'!$C$12+AF11*'Start Here'!$C$13+AF12*'Start Here'!$C$14+AF13*'Start Here'!$C$15+AF14*'Start Here'!$C$16)</f>
        <v/>
      </c>
      <c r="AG3" s="11" t="n"/>
      <c r="AH3" s="10">
        <f>IF(AH17="","",AH8*'Start Here'!$C$10+AH9*'Start Here'!$C$11+AH10*'Start Here'!$C$12+AH11*'Start Here'!$C$13+AH12*'Start Here'!$C$14+AH13*'Start Here'!$C$15+AH14*'Start Here'!$C$16)</f>
        <v/>
      </c>
      <c r="AI3" s="11" t="n"/>
      <c r="AJ3" s="10">
        <f>IF(AJ17="","",AJ8*'Start Here'!$C$10+AJ9*'Start Here'!$C$11+AJ10*'Start Here'!$C$12+AJ11*'Start Here'!$C$13+AJ12*'Start Here'!$C$14+AJ13*'Start Here'!$C$15+AJ14*'Start Here'!$C$16)</f>
        <v/>
      </c>
      <c r="AK3" s="11" t="n"/>
    </row>
    <row r="4" ht="16" customHeight="1">
      <c r="C4" s="12" t="inlineStr">
        <is>
          <t>Band</t>
        </is>
      </c>
      <c r="D4" s="9" t="inlineStr">
        <is>
          <t>80 Advance  ·  65 Consider  ·  50 Hold</t>
        </is>
      </c>
      <c r="F4" s="13">
        <f>IF(F17="","",IF(NOT(F8&gt;=0.6),"Conditional — ","")&amp;IF(F3&gt;=80,"Advance",IF(F3&gt;=65,"Consider",IF(F3&gt;=50,"Hold","Decline"))))</f>
        <v/>
      </c>
      <c r="G4" s="11" t="n"/>
      <c r="H4" s="13">
        <f>IF(H17="","",IF(NOT(H8&gt;=0.6),"Conditional — ","")&amp;IF(H3&gt;=80,"Advance",IF(H3&gt;=65,"Consider",IF(H3&gt;=50,"Hold","Decline"))))</f>
        <v/>
      </c>
      <c r="I4" s="11" t="n"/>
      <c r="J4" s="13">
        <f>IF(J17="","",IF(NOT(J8&gt;=0.6),"Conditional — ","")&amp;IF(J3&gt;=80,"Advance",IF(J3&gt;=65,"Consider",IF(J3&gt;=50,"Hold","Decline"))))</f>
        <v/>
      </c>
      <c r="K4" s="11" t="n"/>
      <c r="L4" s="13">
        <f>IF(L17="","",IF(NOT(L8&gt;=0.6),"Conditional — ","")&amp;IF(L3&gt;=80,"Advance",IF(L3&gt;=65,"Consider",IF(L3&gt;=50,"Hold","Decline"))))</f>
        <v/>
      </c>
      <c r="M4" s="11" t="n"/>
      <c r="N4" s="13">
        <f>IF(N17="","",IF(NOT(N8&gt;=0.6),"Conditional — ","")&amp;IF(N3&gt;=80,"Advance",IF(N3&gt;=65,"Consider",IF(N3&gt;=50,"Hold","Decline"))))</f>
        <v/>
      </c>
      <c r="O4" s="11" t="n"/>
      <c r="P4" s="13">
        <f>IF(P17="","",IF(NOT(P8&gt;=0.6),"Conditional — ","")&amp;IF(P3&gt;=80,"Advance",IF(P3&gt;=65,"Consider",IF(P3&gt;=50,"Hold","Decline"))))</f>
        <v/>
      </c>
      <c r="Q4" s="11" t="n"/>
      <c r="R4" s="13">
        <f>IF(R17="","",IF(NOT(R8&gt;=0.6),"Conditional — ","")&amp;IF(R3&gt;=80,"Advance",IF(R3&gt;=65,"Consider",IF(R3&gt;=50,"Hold","Decline"))))</f>
        <v/>
      </c>
      <c r="S4" s="11" t="n"/>
      <c r="T4" s="13">
        <f>IF(T17="","",IF(NOT(T8&gt;=0.6),"Conditional — ","")&amp;IF(T3&gt;=80,"Advance",IF(T3&gt;=65,"Consider",IF(T3&gt;=50,"Hold","Decline"))))</f>
        <v/>
      </c>
      <c r="U4" s="11" t="n"/>
      <c r="V4" s="13">
        <f>IF(V17="","",IF(NOT(V8&gt;=0.6),"Conditional — ","")&amp;IF(V3&gt;=80,"Advance",IF(V3&gt;=65,"Consider",IF(V3&gt;=50,"Hold","Decline"))))</f>
        <v/>
      </c>
      <c r="W4" s="11" t="n"/>
      <c r="X4" s="13">
        <f>IF(X17="","",IF(NOT(X8&gt;=0.6),"Conditional — ","")&amp;IF(X3&gt;=80,"Advance",IF(X3&gt;=65,"Consider",IF(X3&gt;=50,"Hold","Decline"))))</f>
        <v/>
      </c>
      <c r="Y4" s="11" t="n"/>
      <c r="Z4" s="13">
        <f>IF(Z17="","",IF(NOT(Z8&gt;=0.6),"Conditional — ","")&amp;IF(Z3&gt;=80,"Advance",IF(Z3&gt;=65,"Consider",IF(Z3&gt;=50,"Hold","Decline"))))</f>
        <v/>
      </c>
      <c r="AA4" s="11" t="n"/>
      <c r="AB4" s="13">
        <f>IF(AB17="","",IF(NOT(AB8&gt;=0.6),"Conditional — ","")&amp;IF(AB3&gt;=80,"Advance",IF(AB3&gt;=65,"Consider",IF(AB3&gt;=50,"Hold","Decline"))))</f>
        <v/>
      </c>
      <c r="AC4" s="11" t="n"/>
      <c r="AD4" s="13">
        <f>IF(AD17="","",IF(NOT(AD8&gt;=0.6),"Conditional — ","")&amp;IF(AD3&gt;=80,"Advance",IF(AD3&gt;=65,"Consider",IF(AD3&gt;=50,"Hold","Decline"))))</f>
        <v/>
      </c>
      <c r="AE4" s="11" t="n"/>
      <c r="AF4" s="13">
        <f>IF(AF17="","",IF(NOT(AF8&gt;=0.6),"Conditional — ","")&amp;IF(AF3&gt;=80,"Advance",IF(AF3&gt;=65,"Consider",IF(AF3&gt;=50,"Hold","Decline"))))</f>
        <v/>
      </c>
      <c r="AG4" s="11" t="n"/>
      <c r="AH4" s="13">
        <f>IF(AH17="","",IF(NOT(AH8&gt;=0.6),"Conditional — ","")&amp;IF(AH3&gt;=80,"Advance",IF(AH3&gt;=65,"Consider",IF(AH3&gt;=50,"Hold","Decline"))))</f>
        <v/>
      </c>
      <c r="AI4" s="11" t="n"/>
      <c r="AJ4" s="13">
        <f>IF(AJ17="","",IF(NOT(AJ8&gt;=0.6),"Conditional — ","")&amp;IF(AJ3&gt;=80,"Advance",IF(AJ3&gt;=65,"Consider",IF(AJ3&gt;=50,"Hold","Decline"))))</f>
        <v/>
      </c>
      <c r="AK4" s="11" t="n"/>
    </row>
    <row r="5" ht="16" customHeight="1">
      <c r="C5" s="14" t="inlineStr">
        <is>
          <t>Stop-checks</t>
        </is>
      </c>
      <c r="D5" s="9" t="inlineStr">
        <is>
          <t>of three</t>
        </is>
      </c>
      <c r="F5" s="15">
        <f>IF(F17="","",IF(F18="STOP-CHECK",1,0)+IF(F19="STOP-CHECK",1,0)+IF(F37="STOP-CHECK",1,0))</f>
        <v/>
      </c>
      <c r="G5" s="11" t="n"/>
      <c r="H5" s="15">
        <f>IF(H17="","",IF(H18="STOP-CHECK",1,0)+IF(H19="STOP-CHECK",1,0)+IF(H37="STOP-CHECK",1,0))</f>
        <v/>
      </c>
      <c r="I5" s="11" t="n"/>
      <c r="J5" s="15">
        <f>IF(J17="","",IF(J18="STOP-CHECK",1,0)+IF(J19="STOP-CHECK",1,0)+IF(J37="STOP-CHECK",1,0))</f>
        <v/>
      </c>
      <c r="K5" s="11" t="n"/>
      <c r="L5" s="15">
        <f>IF(L17="","",IF(L18="STOP-CHECK",1,0)+IF(L19="STOP-CHECK",1,0)+IF(L37="STOP-CHECK",1,0))</f>
        <v/>
      </c>
      <c r="M5" s="11" t="n"/>
      <c r="N5" s="15">
        <f>IF(N17="","",IF(N18="STOP-CHECK",1,0)+IF(N19="STOP-CHECK",1,0)+IF(N37="STOP-CHECK",1,0))</f>
        <v/>
      </c>
      <c r="O5" s="11" t="n"/>
      <c r="P5" s="15">
        <f>IF(P17="","",IF(P18="STOP-CHECK",1,0)+IF(P19="STOP-CHECK",1,0)+IF(P37="STOP-CHECK",1,0))</f>
        <v/>
      </c>
      <c r="Q5" s="11" t="n"/>
      <c r="R5" s="15">
        <f>IF(R17="","",IF(R18="STOP-CHECK",1,0)+IF(R19="STOP-CHECK",1,0)+IF(R37="STOP-CHECK",1,0))</f>
        <v/>
      </c>
      <c r="S5" s="11" t="n"/>
      <c r="T5" s="15">
        <f>IF(T17="","",IF(T18="STOP-CHECK",1,0)+IF(T19="STOP-CHECK",1,0)+IF(T37="STOP-CHECK",1,0))</f>
        <v/>
      </c>
      <c r="U5" s="11" t="n"/>
      <c r="V5" s="15">
        <f>IF(V17="","",IF(V18="STOP-CHECK",1,0)+IF(V19="STOP-CHECK",1,0)+IF(V37="STOP-CHECK",1,0))</f>
        <v/>
      </c>
      <c r="W5" s="11" t="n"/>
      <c r="X5" s="15">
        <f>IF(X17="","",IF(X18="STOP-CHECK",1,0)+IF(X19="STOP-CHECK",1,0)+IF(X37="STOP-CHECK",1,0))</f>
        <v/>
      </c>
      <c r="Y5" s="11" t="n"/>
      <c r="Z5" s="15">
        <f>IF(Z17="","",IF(Z18="STOP-CHECK",1,0)+IF(Z19="STOP-CHECK",1,0)+IF(Z37="STOP-CHECK",1,0))</f>
        <v/>
      </c>
      <c r="AA5" s="11" t="n"/>
      <c r="AB5" s="15">
        <f>IF(AB17="","",IF(AB18="STOP-CHECK",1,0)+IF(AB19="STOP-CHECK",1,0)+IF(AB37="STOP-CHECK",1,0))</f>
        <v/>
      </c>
      <c r="AC5" s="11" t="n"/>
      <c r="AD5" s="15">
        <f>IF(AD17="","",IF(AD18="STOP-CHECK",1,0)+IF(AD19="STOP-CHECK",1,0)+IF(AD37="STOP-CHECK",1,0))</f>
        <v/>
      </c>
      <c r="AE5" s="11" t="n"/>
      <c r="AF5" s="15">
        <f>IF(AF17="","",IF(AF18="STOP-CHECK",1,0)+IF(AF19="STOP-CHECK",1,0)+IF(AF37="STOP-CHECK",1,0))</f>
        <v/>
      </c>
      <c r="AG5" s="11" t="n"/>
      <c r="AH5" s="15">
        <f>IF(AH17="","",IF(AH18="STOP-CHECK",1,0)+IF(AH19="STOP-CHECK",1,0)+IF(AH37="STOP-CHECK",1,0))</f>
        <v/>
      </c>
      <c r="AI5" s="11" t="n"/>
      <c r="AJ5" s="15">
        <f>IF(AJ17="","",IF(AJ18="STOP-CHECK",1,0)+IF(AJ19="STOP-CHECK",1,0)+IF(AJ37="STOP-CHECK",1,0))</f>
        <v/>
      </c>
      <c r="AK5" s="11" t="n"/>
    </row>
    <row r="6" ht="8" customHeight="1"/>
    <row r="7" ht="18" customHeight="1">
      <c r="B7" s="16" t="inlineStr">
        <is>
          <t>SECTION GRADES   —   each on its own scale, unweighted</t>
        </is>
      </c>
    </row>
    <row r="8" ht="17" customHeight="1">
      <c r="C8" s="17" t="inlineStr">
        <is>
          <t>Home Care Home Base</t>
        </is>
      </c>
      <c r="F8" s="18">
        <f>IF(F17="","",(IFERROR(VLOOKUP(F17,Lists!$B$2:$C$7,2,FALSE),0))/20)</f>
        <v/>
      </c>
      <c r="G8" s="11" t="n"/>
      <c r="H8" s="18">
        <f>IF(H17="","",(IFERROR(VLOOKUP(H17,Lists!$B$2:$C$7,2,FALSE),0))/20)</f>
        <v/>
      </c>
      <c r="I8" s="11" t="n"/>
      <c r="J8" s="18">
        <f>IF(J17="","",(IFERROR(VLOOKUP(J17,Lists!$B$2:$C$7,2,FALSE),0))/20)</f>
        <v/>
      </c>
      <c r="K8" s="11" t="n"/>
      <c r="L8" s="18">
        <f>IF(L17="","",(IFERROR(VLOOKUP(L17,Lists!$B$2:$C$7,2,FALSE),0))/20)</f>
        <v/>
      </c>
      <c r="M8" s="11" t="n"/>
      <c r="N8" s="18">
        <f>IF(N17="","",(IFERROR(VLOOKUP(N17,Lists!$B$2:$C$7,2,FALSE),0))/20)</f>
        <v/>
      </c>
      <c r="O8" s="11" t="n"/>
      <c r="P8" s="18">
        <f>IF(P17="","",(IFERROR(VLOOKUP(P17,Lists!$B$2:$C$7,2,FALSE),0))/20)</f>
        <v/>
      </c>
      <c r="Q8" s="11" t="n"/>
      <c r="R8" s="18">
        <f>IF(R17="","",(IFERROR(VLOOKUP(R17,Lists!$B$2:$C$7,2,FALSE),0))/20)</f>
        <v/>
      </c>
      <c r="S8" s="11" t="n"/>
      <c r="T8" s="18">
        <f>IF(T17="","",(IFERROR(VLOOKUP(T17,Lists!$B$2:$C$7,2,FALSE),0))/20)</f>
        <v/>
      </c>
      <c r="U8" s="11" t="n"/>
      <c r="V8" s="18">
        <f>IF(V17="","",(IFERROR(VLOOKUP(V17,Lists!$B$2:$C$7,2,FALSE),0))/20)</f>
        <v/>
      </c>
      <c r="W8" s="11" t="n"/>
      <c r="X8" s="18">
        <f>IF(X17="","",(IFERROR(VLOOKUP(X17,Lists!$B$2:$C$7,2,FALSE),0))/20)</f>
        <v/>
      </c>
      <c r="Y8" s="11" t="n"/>
      <c r="Z8" s="18">
        <f>IF(Z17="","",(IFERROR(VLOOKUP(Z17,Lists!$B$2:$C$7,2,FALSE),0))/20)</f>
        <v/>
      </c>
      <c r="AA8" s="11" t="n"/>
      <c r="AB8" s="18">
        <f>IF(AB17="","",(IFERROR(VLOOKUP(AB17,Lists!$B$2:$C$7,2,FALSE),0))/20)</f>
        <v/>
      </c>
      <c r="AC8" s="11" t="n"/>
      <c r="AD8" s="18">
        <f>IF(AD17="","",(IFERROR(VLOOKUP(AD17,Lists!$B$2:$C$7,2,FALSE),0))/20)</f>
        <v/>
      </c>
      <c r="AE8" s="11" t="n"/>
      <c r="AF8" s="18">
        <f>IF(AF17="","",(IFERROR(VLOOKUP(AF17,Lists!$B$2:$C$7,2,FALSE),0))/20)</f>
        <v/>
      </c>
      <c r="AG8" s="11" t="n"/>
      <c r="AH8" s="18">
        <f>IF(AH17="","",(IFERROR(VLOOKUP(AH17,Lists!$B$2:$C$7,2,FALSE),0))/20)</f>
        <v/>
      </c>
      <c r="AI8" s="11" t="n"/>
      <c r="AJ8" s="18">
        <f>IF(AJ17="","",(IFERROR(VLOOKUP(AJ17,Lists!$B$2:$C$7,2,FALSE),0))/20)</f>
        <v/>
      </c>
      <c r="AK8" s="11" t="n"/>
    </row>
    <row r="9" ht="17" customHeight="1">
      <c r="C9" s="19" t="inlineStr">
        <is>
          <t>Capacity</t>
        </is>
      </c>
      <c r="F9" s="18">
        <f>IF(F17="","",(IFERROR(VALUE(LEFT(F23,1)),0)+IFERROR(VALUE(LEFT(F24,1)),0)+IFERROR(VALUE(LEFT(F25,1)),0))/12)</f>
        <v/>
      </c>
      <c r="G9" s="11" t="n"/>
      <c r="H9" s="18">
        <f>IF(H17="","",(IFERROR(VALUE(LEFT(H23,1)),0)+IFERROR(VALUE(LEFT(H24,1)),0)+IFERROR(VALUE(LEFT(H25,1)),0))/12)</f>
        <v/>
      </c>
      <c r="I9" s="11" t="n"/>
      <c r="J9" s="18">
        <f>IF(J17="","",(IFERROR(VALUE(LEFT(J23,1)),0)+IFERROR(VALUE(LEFT(J24,1)),0)+IFERROR(VALUE(LEFT(J25,1)),0))/12)</f>
        <v/>
      </c>
      <c r="K9" s="11" t="n"/>
      <c r="L9" s="18">
        <f>IF(L17="","",(IFERROR(VALUE(LEFT(L23,1)),0)+IFERROR(VALUE(LEFT(L24,1)),0)+IFERROR(VALUE(LEFT(L25,1)),0))/12)</f>
        <v/>
      </c>
      <c r="M9" s="11" t="n"/>
      <c r="N9" s="18">
        <f>IF(N17="","",(IFERROR(VALUE(LEFT(N23,1)),0)+IFERROR(VALUE(LEFT(N24,1)),0)+IFERROR(VALUE(LEFT(N25,1)),0))/12)</f>
        <v/>
      </c>
      <c r="O9" s="11" t="n"/>
      <c r="P9" s="18">
        <f>IF(P17="","",(IFERROR(VALUE(LEFT(P23,1)),0)+IFERROR(VALUE(LEFT(P24,1)),0)+IFERROR(VALUE(LEFT(P25,1)),0))/12)</f>
        <v/>
      </c>
      <c r="Q9" s="11" t="n"/>
      <c r="R9" s="18">
        <f>IF(R17="","",(IFERROR(VALUE(LEFT(R23,1)),0)+IFERROR(VALUE(LEFT(R24,1)),0)+IFERROR(VALUE(LEFT(R25,1)),0))/12)</f>
        <v/>
      </c>
      <c r="S9" s="11" t="n"/>
      <c r="T9" s="18">
        <f>IF(T17="","",(IFERROR(VALUE(LEFT(T23,1)),0)+IFERROR(VALUE(LEFT(T24,1)),0)+IFERROR(VALUE(LEFT(T25,1)),0))/12)</f>
        <v/>
      </c>
      <c r="U9" s="11" t="n"/>
      <c r="V9" s="18">
        <f>IF(V17="","",(IFERROR(VALUE(LEFT(V23,1)),0)+IFERROR(VALUE(LEFT(V24,1)),0)+IFERROR(VALUE(LEFT(V25,1)),0))/12)</f>
        <v/>
      </c>
      <c r="W9" s="11" t="n"/>
      <c r="X9" s="18">
        <f>IF(X17="","",(IFERROR(VALUE(LEFT(X23,1)),0)+IFERROR(VALUE(LEFT(X24,1)),0)+IFERROR(VALUE(LEFT(X25,1)),0))/12)</f>
        <v/>
      </c>
      <c r="Y9" s="11" t="n"/>
      <c r="Z9" s="18">
        <f>IF(Z17="","",(IFERROR(VALUE(LEFT(Z23,1)),0)+IFERROR(VALUE(LEFT(Z24,1)),0)+IFERROR(VALUE(LEFT(Z25,1)),0))/12)</f>
        <v/>
      </c>
      <c r="AA9" s="11" t="n"/>
      <c r="AB9" s="18">
        <f>IF(AB17="","",(IFERROR(VALUE(LEFT(AB23,1)),0)+IFERROR(VALUE(LEFT(AB24,1)),0)+IFERROR(VALUE(LEFT(AB25,1)),0))/12)</f>
        <v/>
      </c>
      <c r="AC9" s="11" t="n"/>
      <c r="AD9" s="18">
        <f>IF(AD17="","",(IFERROR(VALUE(LEFT(AD23,1)),0)+IFERROR(VALUE(LEFT(AD24,1)),0)+IFERROR(VALUE(LEFT(AD25,1)),0))/12)</f>
        <v/>
      </c>
      <c r="AE9" s="11" t="n"/>
      <c r="AF9" s="18">
        <f>IF(AF17="","",(IFERROR(VALUE(LEFT(AF23,1)),0)+IFERROR(VALUE(LEFT(AF24,1)),0)+IFERROR(VALUE(LEFT(AF25,1)),0))/12)</f>
        <v/>
      </c>
      <c r="AG9" s="11" t="n"/>
      <c r="AH9" s="18">
        <f>IF(AH17="","",(IFERROR(VALUE(LEFT(AH23,1)),0)+IFERROR(VALUE(LEFT(AH24,1)),0)+IFERROR(VALUE(LEFT(AH25,1)),0))/12)</f>
        <v/>
      </c>
      <c r="AI9" s="11" t="n"/>
      <c r="AJ9" s="18">
        <f>IF(AJ17="","",(IFERROR(VALUE(LEFT(AJ23,1)),0)+IFERROR(VALUE(LEFT(AJ24,1)),0)+IFERROR(VALUE(LEFT(AJ25,1)),0))/12)</f>
        <v/>
      </c>
      <c r="AK9" s="11" t="n"/>
    </row>
    <row r="10" ht="17" customHeight="1">
      <c r="C10" s="20" t="inlineStr">
        <is>
          <t>Scheduling</t>
        </is>
      </c>
      <c r="F10" s="18">
        <f>IF(F17="","",(IFERROR(VALUE(LEFT(F27,1)),0)+IFERROR(VALUE(LEFT(F28,1)),0)+IFERROR(VALUE(LEFT(F29,1)),0))/12)</f>
        <v/>
      </c>
      <c r="G10" s="11" t="n"/>
      <c r="H10" s="18">
        <f>IF(H17="","",(IFERROR(VALUE(LEFT(H27,1)),0)+IFERROR(VALUE(LEFT(H28,1)),0)+IFERROR(VALUE(LEFT(H29,1)),0))/12)</f>
        <v/>
      </c>
      <c r="I10" s="11" t="n"/>
      <c r="J10" s="18">
        <f>IF(J17="","",(IFERROR(VALUE(LEFT(J27,1)),0)+IFERROR(VALUE(LEFT(J28,1)),0)+IFERROR(VALUE(LEFT(J29,1)),0))/12)</f>
        <v/>
      </c>
      <c r="K10" s="11" t="n"/>
      <c r="L10" s="18">
        <f>IF(L17="","",(IFERROR(VALUE(LEFT(L27,1)),0)+IFERROR(VALUE(LEFT(L28,1)),0)+IFERROR(VALUE(LEFT(L29,1)),0))/12)</f>
        <v/>
      </c>
      <c r="M10" s="11" t="n"/>
      <c r="N10" s="18">
        <f>IF(N17="","",(IFERROR(VALUE(LEFT(N27,1)),0)+IFERROR(VALUE(LEFT(N28,1)),0)+IFERROR(VALUE(LEFT(N29,1)),0))/12)</f>
        <v/>
      </c>
      <c r="O10" s="11" t="n"/>
      <c r="P10" s="18">
        <f>IF(P17="","",(IFERROR(VALUE(LEFT(P27,1)),0)+IFERROR(VALUE(LEFT(P28,1)),0)+IFERROR(VALUE(LEFT(P29,1)),0))/12)</f>
        <v/>
      </c>
      <c r="Q10" s="11" t="n"/>
      <c r="R10" s="18">
        <f>IF(R17="","",(IFERROR(VALUE(LEFT(R27,1)),0)+IFERROR(VALUE(LEFT(R28,1)),0)+IFERROR(VALUE(LEFT(R29,1)),0))/12)</f>
        <v/>
      </c>
      <c r="S10" s="11" t="n"/>
      <c r="T10" s="18">
        <f>IF(T17="","",(IFERROR(VALUE(LEFT(T27,1)),0)+IFERROR(VALUE(LEFT(T28,1)),0)+IFERROR(VALUE(LEFT(T29,1)),0))/12)</f>
        <v/>
      </c>
      <c r="U10" s="11" t="n"/>
      <c r="V10" s="18">
        <f>IF(V17="","",(IFERROR(VALUE(LEFT(V27,1)),0)+IFERROR(VALUE(LEFT(V28,1)),0)+IFERROR(VALUE(LEFT(V29,1)),0))/12)</f>
        <v/>
      </c>
      <c r="W10" s="11" t="n"/>
      <c r="X10" s="18">
        <f>IF(X17="","",(IFERROR(VALUE(LEFT(X27,1)),0)+IFERROR(VALUE(LEFT(X28,1)),0)+IFERROR(VALUE(LEFT(X29,1)),0))/12)</f>
        <v/>
      </c>
      <c r="Y10" s="11" t="n"/>
      <c r="Z10" s="18">
        <f>IF(Z17="","",(IFERROR(VALUE(LEFT(Z27,1)),0)+IFERROR(VALUE(LEFT(Z28,1)),0)+IFERROR(VALUE(LEFT(Z29,1)),0))/12)</f>
        <v/>
      </c>
      <c r="AA10" s="11" t="n"/>
      <c r="AB10" s="18">
        <f>IF(AB17="","",(IFERROR(VALUE(LEFT(AB27,1)),0)+IFERROR(VALUE(LEFT(AB28,1)),0)+IFERROR(VALUE(LEFT(AB29,1)),0))/12)</f>
        <v/>
      </c>
      <c r="AC10" s="11" t="n"/>
      <c r="AD10" s="18">
        <f>IF(AD17="","",(IFERROR(VALUE(LEFT(AD27,1)),0)+IFERROR(VALUE(LEFT(AD28,1)),0)+IFERROR(VALUE(LEFT(AD29,1)),0))/12)</f>
        <v/>
      </c>
      <c r="AE10" s="11" t="n"/>
      <c r="AF10" s="18">
        <f>IF(AF17="","",(IFERROR(VALUE(LEFT(AF27,1)),0)+IFERROR(VALUE(LEFT(AF28,1)),0)+IFERROR(VALUE(LEFT(AF29,1)),0))/12)</f>
        <v/>
      </c>
      <c r="AG10" s="11" t="n"/>
      <c r="AH10" s="18">
        <f>IF(AH17="","",(IFERROR(VALUE(LEFT(AH27,1)),0)+IFERROR(VALUE(LEFT(AH28,1)),0)+IFERROR(VALUE(LEFT(AH29,1)),0))/12)</f>
        <v/>
      </c>
      <c r="AI10" s="11" t="n"/>
      <c r="AJ10" s="18">
        <f>IF(AJ17="","",(IFERROR(VALUE(LEFT(AJ27,1)),0)+IFERROR(VALUE(LEFT(AJ28,1)),0)+IFERROR(VALUE(LEFT(AJ29,1)),0))/12)</f>
        <v/>
      </c>
      <c r="AK10" s="11" t="n"/>
    </row>
    <row r="11" ht="17" customHeight="1">
      <c r="C11" s="21" t="inlineStr">
        <is>
          <t>Engagement</t>
        </is>
      </c>
      <c r="F11" s="18">
        <f>IF(F17="","",(IFERROR(VALUE(LEFT(F31,1)),0)+IFERROR(VALUE(LEFT(F32,1)),0)+IFERROR(VALUE(LEFT(F33,1)),0))/12)</f>
        <v/>
      </c>
      <c r="G11" s="11" t="n"/>
      <c r="H11" s="18">
        <f>IF(H17="","",(IFERROR(VALUE(LEFT(H31,1)),0)+IFERROR(VALUE(LEFT(H32,1)),0)+IFERROR(VALUE(LEFT(H33,1)),0))/12)</f>
        <v/>
      </c>
      <c r="I11" s="11" t="n"/>
      <c r="J11" s="18">
        <f>IF(J17="","",(IFERROR(VALUE(LEFT(J31,1)),0)+IFERROR(VALUE(LEFT(J32,1)),0)+IFERROR(VALUE(LEFT(J33,1)),0))/12)</f>
        <v/>
      </c>
      <c r="K11" s="11" t="n"/>
      <c r="L11" s="18">
        <f>IF(L17="","",(IFERROR(VALUE(LEFT(L31,1)),0)+IFERROR(VALUE(LEFT(L32,1)),0)+IFERROR(VALUE(LEFT(L33,1)),0))/12)</f>
        <v/>
      </c>
      <c r="M11" s="11" t="n"/>
      <c r="N11" s="18">
        <f>IF(N17="","",(IFERROR(VALUE(LEFT(N31,1)),0)+IFERROR(VALUE(LEFT(N32,1)),0)+IFERROR(VALUE(LEFT(N33,1)),0))/12)</f>
        <v/>
      </c>
      <c r="O11" s="11" t="n"/>
      <c r="P11" s="18">
        <f>IF(P17="","",(IFERROR(VALUE(LEFT(P31,1)),0)+IFERROR(VALUE(LEFT(P32,1)),0)+IFERROR(VALUE(LEFT(P33,1)),0))/12)</f>
        <v/>
      </c>
      <c r="Q11" s="11" t="n"/>
      <c r="R11" s="18">
        <f>IF(R17="","",(IFERROR(VALUE(LEFT(R31,1)),0)+IFERROR(VALUE(LEFT(R32,1)),0)+IFERROR(VALUE(LEFT(R33,1)),0))/12)</f>
        <v/>
      </c>
      <c r="S11" s="11" t="n"/>
      <c r="T11" s="18">
        <f>IF(T17="","",(IFERROR(VALUE(LEFT(T31,1)),0)+IFERROR(VALUE(LEFT(T32,1)),0)+IFERROR(VALUE(LEFT(T33,1)),0))/12)</f>
        <v/>
      </c>
      <c r="U11" s="11" t="n"/>
      <c r="V11" s="18">
        <f>IF(V17="","",(IFERROR(VALUE(LEFT(V31,1)),0)+IFERROR(VALUE(LEFT(V32,1)),0)+IFERROR(VALUE(LEFT(V33,1)),0))/12)</f>
        <v/>
      </c>
      <c r="W11" s="11" t="n"/>
      <c r="X11" s="18">
        <f>IF(X17="","",(IFERROR(VALUE(LEFT(X31,1)),0)+IFERROR(VALUE(LEFT(X32,1)),0)+IFERROR(VALUE(LEFT(X33,1)),0))/12)</f>
        <v/>
      </c>
      <c r="Y11" s="11" t="n"/>
      <c r="Z11" s="18">
        <f>IF(Z17="","",(IFERROR(VALUE(LEFT(Z31,1)),0)+IFERROR(VALUE(LEFT(Z32,1)),0)+IFERROR(VALUE(LEFT(Z33,1)),0))/12)</f>
        <v/>
      </c>
      <c r="AA11" s="11" t="n"/>
      <c r="AB11" s="18">
        <f>IF(AB17="","",(IFERROR(VALUE(LEFT(AB31,1)),0)+IFERROR(VALUE(LEFT(AB32,1)),0)+IFERROR(VALUE(LEFT(AB33,1)),0))/12)</f>
        <v/>
      </c>
      <c r="AC11" s="11" t="n"/>
      <c r="AD11" s="18">
        <f>IF(AD17="","",(IFERROR(VALUE(LEFT(AD31,1)),0)+IFERROR(VALUE(LEFT(AD32,1)),0)+IFERROR(VALUE(LEFT(AD33,1)),0))/12)</f>
        <v/>
      </c>
      <c r="AE11" s="11" t="n"/>
      <c r="AF11" s="18">
        <f>IF(AF17="","",(IFERROR(VALUE(LEFT(AF31,1)),0)+IFERROR(VALUE(LEFT(AF32,1)),0)+IFERROR(VALUE(LEFT(AF33,1)),0))/12)</f>
        <v/>
      </c>
      <c r="AG11" s="11" t="n"/>
      <c r="AH11" s="18">
        <f>IF(AH17="","",(IFERROR(VALUE(LEFT(AH31,1)),0)+IFERROR(VALUE(LEFT(AH32,1)),0)+IFERROR(VALUE(LEFT(AH33,1)),0))/12)</f>
        <v/>
      </c>
      <c r="AI11" s="11" t="n"/>
      <c r="AJ11" s="18">
        <f>IF(AJ17="","",(IFERROR(VALUE(LEFT(AJ31,1)),0)+IFERROR(VALUE(LEFT(AJ32,1)),0)+IFERROR(VALUE(LEFT(AJ33,1)),0))/12)</f>
        <v/>
      </c>
      <c r="AK11" s="11" t="n"/>
    </row>
    <row r="12" ht="17" customHeight="1">
      <c r="C12" s="22" t="inlineStr">
        <is>
          <t>Sophistication</t>
        </is>
      </c>
      <c r="F12" s="23">
        <f>IF(F17="","",(IFERROR(VALUE(LEFT(F36,1)),0))/4)</f>
        <v/>
      </c>
      <c r="G12" s="11" t="n"/>
      <c r="H12" s="23">
        <f>IF(H17="","",(IFERROR(VALUE(LEFT(H36,1)),0))/4)</f>
        <v/>
      </c>
      <c r="I12" s="11" t="n"/>
      <c r="J12" s="23">
        <f>IF(J17="","",(IFERROR(VALUE(LEFT(J36,1)),0))/4)</f>
        <v/>
      </c>
      <c r="K12" s="11" t="n"/>
      <c r="L12" s="23">
        <f>IF(L17="","",(IFERROR(VALUE(LEFT(L36,1)),0))/4)</f>
        <v/>
      </c>
      <c r="M12" s="11" t="n"/>
      <c r="N12" s="23">
        <f>IF(N17="","",(IFERROR(VALUE(LEFT(N36,1)),0))/4)</f>
        <v/>
      </c>
      <c r="O12" s="11" t="n"/>
      <c r="P12" s="23">
        <f>IF(P17="","",(IFERROR(VALUE(LEFT(P36,1)),0))/4)</f>
        <v/>
      </c>
      <c r="Q12" s="11" t="n"/>
      <c r="R12" s="23">
        <f>IF(R17="","",(IFERROR(VALUE(LEFT(R36,1)),0))/4)</f>
        <v/>
      </c>
      <c r="S12" s="11" t="n"/>
      <c r="T12" s="23">
        <f>IF(T17="","",(IFERROR(VALUE(LEFT(T36,1)),0))/4)</f>
        <v/>
      </c>
      <c r="U12" s="11" t="n"/>
      <c r="V12" s="23">
        <f>IF(V17="","",(IFERROR(VALUE(LEFT(V36,1)),0))/4)</f>
        <v/>
      </c>
      <c r="W12" s="11" t="n"/>
      <c r="X12" s="23">
        <f>IF(X17="","",(IFERROR(VALUE(LEFT(X36,1)),0))/4)</f>
        <v/>
      </c>
      <c r="Y12" s="11" t="n"/>
      <c r="Z12" s="23">
        <f>IF(Z17="","",(IFERROR(VALUE(LEFT(Z36,1)),0))/4)</f>
        <v/>
      </c>
      <c r="AA12" s="11" t="n"/>
      <c r="AB12" s="23">
        <f>IF(AB17="","",(IFERROR(VALUE(LEFT(AB36,1)),0))/4)</f>
        <v/>
      </c>
      <c r="AC12" s="11" t="n"/>
      <c r="AD12" s="23">
        <f>IF(AD17="","",(IFERROR(VALUE(LEFT(AD36,1)),0))/4)</f>
        <v/>
      </c>
      <c r="AE12" s="11" t="n"/>
      <c r="AF12" s="23">
        <f>IF(AF17="","",(IFERROR(VALUE(LEFT(AF36,1)),0))/4)</f>
        <v/>
      </c>
      <c r="AG12" s="11" t="n"/>
      <c r="AH12" s="23">
        <f>IF(AH17="","",(IFERROR(VALUE(LEFT(AH36,1)),0))/4)</f>
        <v/>
      </c>
      <c r="AI12" s="11" t="n"/>
      <c r="AJ12" s="23">
        <f>IF(AJ17="","",(IFERROR(VALUE(LEFT(AJ36,1)),0))/4)</f>
        <v/>
      </c>
      <c r="AK12" s="11" t="n"/>
    </row>
    <row r="13" ht="17" customHeight="1">
      <c r="C13" s="24" t="inlineStr">
        <is>
          <t>Clinician fit</t>
        </is>
      </c>
      <c r="F13" s="23">
        <f>IF(F17="","",(IFERROR(VALUE(LEFT(F40,1)),0))/4)</f>
        <v/>
      </c>
      <c r="G13" s="11" t="n"/>
      <c r="H13" s="23">
        <f>IF(H17="","",(IFERROR(VALUE(LEFT(H40,1)),0))/4)</f>
        <v/>
      </c>
      <c r="I13" s="11" t="n"/>
      <c r="J13" s="23">
        <f>IF(J17="","",(IFERROR(VALUE(LEFT(J40,1)),0))/4)</f>
        <v/>
      </c>
      <c r="K13" s="11" t="n"/>
      <c r="L13" s="23">
        <f>IF(L17="","",(IFERROR(VALUE(LEFT(L40,1)),0))/4)</f>
        <v/>
      </c>
      <c r="M13" s="11" t="n"/>
      <c r="N13" s="23">
        <f>IF(N17="","",(IFERROR(VALUE(LEFT(N40,1)),0))/4)</f>
        <v/>
      </c>
      <c r="O13" s="11" t="n"/>
      <c r="P13" s="23">
        <f>IF(P17="","",(IFERROR(VALUE(LEFT(P40,1)),0))/4)</f>
        <v/>
      </c>
      <c r="Q13" s="11" t="n"/>
      <c r="R13" s="23">
        <f>IF(R17="","",(IFERROR(VALUE(LEFT(R40,1)),0))/4)</f>
        <v/>
      </c>
      <c r="S13" s="11" t="n"/>
      <c r="T13" s="23">
        <f>IF(T17="","",(IFERROR(VALUE(LEFT(T40,1)),0))/4)</f>
        <v/>
      </c>
      <c r="U13" s="11" t="n"/>
      <c r="V13" s="23">
        <f>IF(V17="","",(IFERROR(VALUE(LEFT(V40,1)),0))/4)</f>
        <v/>
      </c>
      <c r="W13" s="11" t="n"/>
      <c r="X13" s="23">
        <f>IF(X17="","",(IFERROR(VALUE(LEFT(X40,1)),0))/4)</f>
        <v/>
      </c>
      <c r="Y13" s="11" t="n"/>
      <c r="Z13" s="23">
        <f>IF(Z17="","",(IFERROR(VALUE(LEFT(Z40,1)),0))/4)</f>
        <v/>
      </c>
      <c r="AA13" s="11" t="n"/>
      <c r="AB13" s="23">
        <f>IF(AB17="","",(IFERROR(VALUE(LEFT(AB40,1)),0))/4)</f>
        <v/>
      </c>
      <c r="AC13" s="11" t="n"/>
      <c r="AD13" s="23">
        <f>IF(AD17="","",(IFERROR(VALUE(LEFT(AD40,1)),0))/4)</f>
        <v/>
      </c>
      <c r="AE13" s="11" t="n"/>
      <c r="AF13" s="23">
        <f>IF(AF17="","",(IFERROR(VALUE(LEFT(AF40,1)),0))/4)</f>
        <v/>
      </c>
      <c r="AG13" s="11" t="n"/>
      <c r="AH13" s="23">
        <f>IF(AH17="","",(IFERROR(VALUE(LEFT(AH40,1)),0))/4)</f>
        <v/>
      </c>
      <c r="AI13" s="11" t="n"/>
      <c r="AJ13" s="23">
        <f>IF(AJ17="","",(IFERROR(VALUE(LEFT(AJ40,1)),0))/4)</f>
        <v/>
      </c>
      <c r="AK13" s="11" t="n"/>
    </row>
    <row r="14" ht="17" customHeight="1">
      <c r="C14" s="24" t="inlineStr">
        <is>
          <t>Partnership</t>
        </is>
      </c>
      <c r="F14" s="23">
        <f>IF(F17="","",(IFERROR(VALUE(LEFT(F43,1)),0))/4)</f>
        <v/>
      </c>
      <c r="G14" s="11" t="n"/>
      <c r="H14" s="23">
        <f>IF(H17="","",(IFERROR(VALUE(LEFT(H43,1)),0))/4)</f>
        <v/>
      </c>
      <c r="I14" s="11" t="n"/>
      <c r="J14" s="23">
        <f>IF(J17="","",(IFERROR(VALUE(LEFT(J43,1)),0))/4)</f>
        <v/>
      </c>
      <c r="K14" s="11" t="n"/>
      <c r="L14" s="23">
        <f>IF(L17="","",(IFERROR(VALUE(LEFT(L43,1)),0))/4)</f>
        <v/>
      </c>
      <c r="M14" s="11" t="n"/>
      <c r="N14" s="23">
        <f>IF(N17="","",(IFERROR(VALUE(LEFT(N43,1)),0))/4)</f>
        <v/>
      </c>
      <c r="O14" s="11" t="n"/>
      <c r="P14" s="23">
        <f>IF(P17="","",(IFERROR(VALUE(LEFT(P43,1)),0))/4)</f>
        <v/>
      </c>
      <c r="Q14" s="11" t="n"/>
      <c r="R14" s="23">
        <f>IF(R17="","",(IFERROR(VALUE(LEFT(R43,1)),0))/4)</f>
        <v/>
      </c>
      <c r="S14" s="11" t="n"/>
      <c r="T14" s="23">
        <f>IF(T17="","",(IFERROR(VALUE(LEFT(T43,1)),0))/4)</f>
        <v/>
      </c>
      <c r="U14" s="11" t="n"/>
      <c r="V14" s="23">
        <f>IF(V17="","",(IFERROR(VALUE(LEFT(V43,1)),0))/4)</f>
        <v/>
      </c>
      <c r="W14" s="11" t="n"/>
      <c r="X14" s="23">
        <f>IF(X17="","",(IFERROR(VALUE(LEFT(X43,1)),0))/4)</f>
        <v/>
      </c>
      <c r="Y14" s="11" t="n"/>
      <c r="Z14" s="23">
        <f>IF(Z17="","",(IFERROR(VALUE(LEFT(Z43,1)),0))/4)</f>
        <v/>
      </c>
      <c r="AA14" s="11" t="n"/>
      <c r="AB14" s="23">
        <f>IF(AB17="","",(IFERROR(VALUE(LEFT(AB43,1)),0))/4)</f>
        <v/>
      </c>
      <c r="AC14" s="11" t="n"/>
      <c r="AD14" s="23">
        <f>IF(AD17="","",(IFERROR(VALUE(LEFT(AD43,1)),0))/4)</f>
        <v/>
      </c>
      <c r="AE14" s="11" t="n"/>
      <c r="AF14" s="23">
        <f>IF(AF17="","",(IFERROR(VALUE(LEFT(AF43,1)),0))/4)</f>
        <v/>
      </c>
      <c r="AG14" s="11" t="n"/>
      <c r="AH14" s="23">
        <f>IF(AH17="","",(IFERROR(VALUE(LEFT(AH43,1)),0))/4)</f>
        <v/>
      </c>
      <c r="AI14" s="11" t="n"/>
      <c r="AJ14" s="23">
        <f>IF(AJ17="","",(IFERROR(VALUE(LEFT(AJ43,1)),0))/4)</f>
        <v/>
      </c>
      <c r="AK14" s="11" t="n"/>
    </row>
    <row r="16" ht="21" customHeight="1">
      <c r="B16" s="25" t="inlineStr">
        <is>
          <t>A  ·  COMPANY AND PRODUCT</t>
        </is>
      </c>
    </row>
    <row r="17" ht="30" customHeight="1">
      <c r="B17" s="26" t="inlineStr">
        <is>
          <t>A1</t>
        </is>
      </c>
      <c r="C17" s="27" t="inlineStr">
        <is>
          <t>Home Care Home Base integration</t>
        </is>
      </c>
      <c r="D17" s="28" t="inlineStr">
        <is>
          <t>Pick the line that matches their answer</t>
        </is>
      </c>
      <c r="E17" s="29">
        <f>'Start Here'!$C$10</f>
        <v/>
      </c>
      <c r="F17" s="30" t="inlineStr">
        <is>
          <t>Live — established customer base</t>
        </is>
      </c>
      <c r="G17" s="31" t="inlineStr">
        <is>
          <t>Live since Mar 2024, four HCHB customers, published API both ways. Says HCHB is authoritative for orders, they own assignment. CLAIM: bi-directional. EVIDENCE: named the conflict rule, which is the hard part — believable.</t>
        </is>
      </c>
      <c r="H17" s="30" t="inlineStr">
        <is>
          <t>Live — small customer base</t>
        </is>
      </c>
      <c r="I17" s="31" t="inlineStr">
        <is>
          <t>One customer, live 8 months. CLAIM: full integration. EVIDENCE: describes a nightly file drop. That is not the same thing — ask.</t>
        </is>
      </c>
      <c r="J17" s="30" t="inlineStr">
        <is>
          <t>In development — with a date</t>
        </is>
      </c>
      <c r="K17" s="31" t="inlineStr">
        <is>
          <t>Not live. Q2 2027 target, named an engineer and a scope. CLAIM is modest and EVIDENCE matches it — the most honest A1 we have had.</t>
        </is>
      </c>
      <c r="L17" s="30" t="n"/>
      <c r="M17" s="31" t="n"/>
      <c r="N17" s="30" t="n"/>
      <c r="O17" s="31" t="n"/>
      <c r="P17" s="30" t="n"/>
      <c r="Q17" s="31" t="n"/>
      <c r="R17" s="30" t="n"/>
      <c r="S17" s="31" t="n"/>
      <c r="T17" s="30" t="n"/>
      <c r="U17" s="31" t="n"/>
      <c r="V17" s="30" t="n"/>
      <c r="W17" s="31" t="n"/>
      <c r="X17" s="30" t="n"/>
      <c r="Y17" s="31" t="n"/>
      <c r="Z17" s="30" t="n"/>
      <c r="AA17" s="31" t="n"/>
      <c r="AB17" s="30" t="n"/>
      <c r="AC17" s="31" t="n"/>
      <c r="AD17" s="30" t="n"/>
      <c r="AE17" s="31" t="n"/>
      <c r="AF17" s="30" t="n"/>
      <c r="AG17" s="31" t="n"/>
      <c r="AH17" s="30" t="n"/>
      <c r="AI17" s="31" t="n"/>
      <c r="AJ17" s="30" t="n"/>
      <c r="AK17" s="31" t="n"/>
    </row>
    <row r="18" ht="24" customHeight="1">
      <c r="B18" s="32" t="inlineStr">
        <is>
          <t>A2</t>
        </is>
      </c>
      <c r="C18" s="33" t="inlineStr">
        <is>
          <t>Customers, scale and references</t>
        </is>
      </c>
      <c r="D18" s="34" t="inlineStr">
        <is>
          <t>Stop-check if one customer, or no references offered</t>
        </is>
      </c>
      <c r="E18" s="35" t="n"/>
      <c r="F18" s="36" t="inlineStr">
        <is>
          <t>OK</t>
        </is>
      </c>
      <c r="G18" s="37" t="n"/>
      <c r="H18" s="36" t="inlineStr">
        <is>
          <t>STOP-CHECK</t>
        </is>
      </c>
      <c r="I18" s="37" t="inlineStr">
        <is>
          <t>One customer. References 'available on request' — they did not commit.</t>
        </is>
      </c>
      <c r="J18" s="36" t="inlineStr">
        <is>
          <t>OK</t>
        </is>
      </c>
      <c r="K18" s="37" t="n"/>
      <c r="L18" s="36" t="n"/>
      <c r="M18" s="37" t="n"/>
      <c r="N18" s="36" t="n"/>
      <c r="O18" s="37" t="n"/>
      <c r="P18" s="36" t="n"/>
      <c r="Q18" s="37" t="n"/>
      <c r="R18" s="36" t="n"/>
      <c r="S18" s="37" t="n"/>
      <c r="T18" s="36" t="n"/>
      <c r="U18" s="37" t="n"/>
      <c r="V18" s="36" t="n"/>
      <c r="W18" s="37" t="n"/>
      <c r="X18" s="36" t="n"/>
      <c r="Y18" s="37" t="n"/>
      <c r="Z18" s="36" t="n"/>
      <c r="AA18" s="37" t="n"/>
      <c r="AB18" s="36" t="n"/>
      <c r="AC18" s="37" t="n"/>
      <c r="AD18" s="36" t="n"/>
      <c r="AE18" s="37" t="n"/>
      <c r="AF18" s="36" t="n"/>
      <c r="AG18" s="37" t="n"/>
      <c r="AH18" s="36" t="n"/>
      <c r="AI18" s="37" t="n"/>
      <c r="AJ18" s="36" t="n"/>
      <c r="AK18" s="37" t="n"/>
    </row>
    <row r="19" ht="24" customHeight="1">
      <c r="B19" s="32" t="inlineStr">
        <is>
          <t>A3</t>
        </is>
      </c>
      <c r="C19" s="33" t="inlineStr">
        <is>
          <t>Measured impact</t>
        </is>
      </c>
      <c r="D19" s="34" t="inlineStr">
        <is>
          <t>Watch if claimed with no baseline or period</t>
        </is>
      </c>
      <c r="E19" s="35" t="n"/>
      <c r="F19" s="36" t="inlineStr">
        <is>
          <t>Watch</t>
        </is>
      </c>
      <c r="G19" s="37" t="inlineStr">
        <is>
          <t>14% mileage reduction — one site, nine months. CLAIM is big, EVIDENCE is thin. Ask.</t>
        </is>
      </c>
      <c r="H19" s="36" t="inlineStr">
        <is>
          <t>Watch</t>
        </is>
      </c>
      <c r="I19" s="37" t="n"/>
      <c r="J19" s="36" t="inlineStr">
        <is>
          <t>OK</t>
        </is>
      </c>
      <c r="K19" s="37" t="n"/>
      <c r="L19" s="36" t="n"/>
      <c r="M19" s="37" t="n"/>
      <c r="N19" s="36" t="n"/>
      <c r="O19" s="37" t="n"/>
      <c r="P19" s="36" t="n"/>
      <c r="Q19" s="37" t="n"/>
      <c r="R19" s="36" t="n"/>
      <c r="S19" s="37" t="n"/>
      <c r="T19" s="36" t="n"/>
      <c r="U19" s="37" t="n"/>
      <c r="V19" s="36" t="n"/>
      <c r="W19" s="37" t="n"/>
      <c r="X19" s="36" t="n"/>
      <c r="Y19" s="37" t="n"/>
      <c r="Z19" s="36" t="n"/>
      <c r="AA19" s="37" t="n"/>
      <c r="AB19" s="36" t="n"/>
      <c r="AC19" s="37" t="n"/>
      <c r="AD19" s="36" t="n"/>
      <c r="AE19" s="37" t="n"/>
      <c r="AF19" s="36" t="n"/>
      <c r="AG19" s="37" t="n"/>
      <c r="AH19" s="36" t="n"/>
      <c r="AI19" s="37" t="n"/>
      <c r="AJ19" s="36" t="n"/>
      <c r="AK19" s="37" t="n"/>
    </row>
    <row r="21" ht="21" customHeight="1">
      <c r="B21" s="25" t="inlineStr">
        <is>
          <t>B  ·  COVERAGE SELF-ASSESSMENT   —   how much of our scope they cover</t>
        </is>
      </c>
    </row>
    <row r="22" ht="17" customHeight="1">
      <c r="B22" s="38" t="inlineStr">
        <is>
          <t>CAPACITY   —   three marks of 0–4</t>
        </is>
      </c>
    </row>
    <row r="23" ht="24" customHeight="1">
      <c r="B23" s="32" t="inlineStr">
        <is>
          <t>Section B</t>
        </is>
      </c>
      <c r="C23" s="33" t="inlineStr">
        <is>
          <t>Workforce supply</t>
        </is>
      </c>
      <c r="D23" s="34" t="inlineStr">
        <is>
          <t>Roster, disciplines, roles, competencies, ramp, float pool</t>
        </is>
      </c>
      <c r="E23" s="39">
        <f>'Start Here'!$C$11</f>
        <v/>
      </c>
      <c r="F23" s="36" t="inlineStr">
        <is>
          <t>4 — Most of it</t>
        </is>
      </c>
      <c r="G23" s="37" t="n"/>
      <c r="H23" s="36" t="inlineStr">
        <is>
          <t>2 — About half</t>
        </is>
      </c>
      <c r="I23" s="37" t="n"/>
      <c r="J23" s="36" t="inlineStr">
        <is>
          <t>2 — About half</t>
        </is>
      </c>
      <c r="K23" s="37" t="n"/>
      <c r="L23" s="36" t="n"/>
      <c r="M23" s="37" t="n"/>
      <c r="N23" s="36" t="n"/>
      <c r="O23" s="37" t="n"/>
      <c r="P23" s="36" t="n"/>
      <c r="Q23" s="37" t="n"/>
      <c r="R23" s="36" t="n"/>
      <c r="S23" s="37" t="n"/>
      <c r="T23" s="36" t="n"/>
      <c r="U23" s="37" t="n"/>
      <c r="V23" s="36" t="n"/>
      <c r="W23" s="37" t="n"/>
      <c r="X23" s="36" t="n"/>
      <c r="Y23" s="37" t="n"/>
      <c r="Z23" s="36" t="n"/>
      <c r="AA23" s="37" t="n"/>
      <c r="AB23" s="36" t="n"/>
      <c r="AC23" s="37" t="n"/>
      <c r="AD23" s="36" t="n"/>
      <c r="AE23" s="37" t="n"/>
      <c r="AF23" s="36" t="n"/>
      <c r="AG23" s="37" t="n"/>
      <c r="AH23" s="36" t="n"/>
      <c r="AI23" s="37" t="n"/>
      <c r="AJ23" s="36" t="n"/>
      <c r="AK23" s="37" t="n"/>
    </row>
    <row r="24" ht="24" customHeight="1">
      <c r="B24" s="32" t="inlineStr">
        <is>
          <t>Section B</t>
        </is>
      </c>
      <c r="C24" s="33" t="inlineStr">
        <is>
          <t>Availability &amp; reach</t>
        </is>
      </c>
      <c r="D24" s="34" t="inlineStr">
        <is>
          <t>Availability and time off, territory, drive-time reachability</t>
        </is>
      </c>
      <c r="F24" s="36" t="inlineStr">
        <is>
          <t>3 — More than half</t>
        </is>
      </c>
      <c r="G24" s="37" t="n"/>
      <c r="H24" s="36" t="inlineStr">
        <is>
          <t>1 — A corner of it</t>
        </is>
      </c>
      <c r="I24" s="37" t="n"/>
      <c r="J24" s="36" t="inlineStr">
        <is>
          <t>2 — About half</t>
        </is>
      </c>
      <c r="K24" s="37" t="n"/>
      <c r="L24" s="36" t="n"/>
      <c r="M24" s="37" t="n"/>
      <c r="N24" s="36" t="n"/>
      <c r="O24" s="37" t="n"/>
      <c r="P24" s="36" t="n"/>
      <c r="Q24" s="37" t="n"/>
      <c r="R24" s="36" t="n"/>
      <c r="S24" s="37" t="n"/>
      <c r="T24" s="36" t="n"/>
      <c r="U24" s="37" t="n"/>
      <c r="V24" s="36" t="n"/>
      <c r="W24" s="37" t="n"/>
      <c r="X24" s="36" t="n"/>
      <c r="Y24" s="37" t="n"/>
      <c r="Z24" s="36" t="n"/>
      <c r="AA24" s="37" t="n"/>
      <c r="AB24" s="36" t="n"/>
      <c r="AC24" s="37" t="n"/>
      <c r="AD24" s="36" t="n"/>
      <c r="AE24" s="37" t="n"/>
      <c r="AF24" s="36" t="n"/>
      <c r="AG24" s="37" t="n"/>
      <c r="AH24" s="36" t="n"/>
      <c r="AI24" s="37" t="n"/>
      <c r="AJ24" s="36" t="n"/>
      <c r="AK24" s="37" t="n"/>
    </row>
    <row r="25" ht="24" customHeight="1">
      <c r="B25" s="32" t="inlineStr">
        <is>
          <t>Section B</t>
        </is>
      </c>
      <c r="C25" s="33" t="inlineStr">
        <is>
          <t>The capacity math</t>
        </is>
      </c>
      <c r="D25" s="34" t="inlineStr">
        <is>
          <t>Visit weighting, targets and ceilings, committed load vs. open room</t>
        </is>
      </c>
      <c r="F25" s="36" t="inlineStr">
        <is>
          <t>4 — Most of it</t>
        </is>
      </c>
      <c r="G25" s="37" t="inlineStr">
        <is>
          <t>Visit points against a weekly target, committed vs open by day and territory (C1). CLAIM and EVIDENCE line up.</t>
        </is>
      </c>
      <c r="H25" s="36" t="inlineStr">
        <is>
          <t>1 — A corner of it</t>
        </is>
      </c>
      <c r="I25" s="37" t="n"/>
      <c r="J25" s="36" t="inlineStr">
        <is>
          <t>3 — More than half</t>
        </is>
      </c>
      <c r="K25" s="37" t="n"/>
      <c r="L25" s="36" t="n"/>
      <c r="M25" s="37" t="n"/>
      <c r="N25" s="36" t="n"/>
      <c r="O25" s="37" t="n"/>
      <c r="P25" s="36" t="n"/>
      <c r="Q25" s="37" t="n"/>
      <c r="R25" s="36" t="n"/>
      <c r="S25" s="37" t="n"/>
      <c r="T25" s="36" t="n"/>
      <c r="U25" s="37" t="n"/>
      <c r="V25" s="36" t="n"/>
      <c r="W25" s="37" t="n"/>
      <c r="X25" s="36" t="n"/>
      <c r="Y25" s="37" t="n"/>
      <c r="Z25" s="36" t="n"/>
      <c r="AA25" s="37" t="n"/>
      <c r="AB25" s="36" t="n"/>
      <c r="AC25" s="37" t="n"/>
      <c r="AD25" s="36" t="n"/>
      <c r="AE25" s="37" t="n"/>
      <c r="AF25" s="36" t="n"/>
      <c r="AG25" s="37" t="n"/>
      <c r="AH25" s="36" t="n"/>
      <c r="AI25" s="37" t="n"/>
      <c r="AJ25" s="36" t="n"/>
      <c r="AK25" s="37" t="n"/>
    </row>
    <row r="26" ht="17" customHeight="1">
      <c r="B26" s="40" t="inlineStr">
        <is>
          <t>SCHEDULING   —   three marks of 0–4</t>
        </is>
      </c>
    </row>
    <row r="27" ht="24" customHeight="1">
      <c r="B27" s="26" t="inlineStr">
        <is>
          <t>Section B</t>
        </is>
      </c>
      <c r="C27" s="27" t="inlineStr">
        <is>
          <t>Demand &amp; matching</t>
        </is>
      </c>
      <c r="D27" s="28" t="inlineStr">
        <is>
          <t>Ordered visits, authorization, readiness — and who fits them</t>
        </is>
      </c>
      <c r="E27" s="41">
        <f>'Start Here'!$C$12</f>
        <v/>
      </c>
      <c r="F27" s="30" t="inlineStr">
        <is>
          <t>4 — Most of it</t>
        </is>
      </c>
      <c r="G27" s="31" t="n"/>
      <c r="H27" s="30" t="inlineStr">
        <is>
          <t>3 — More than half</t>
        </is>
      </c>
      <c r="I27" s="31" t="n"/>
      <c r="J27" s="30" t="inlineStr">
        <is>
          <t>3 — More than half</t>
        </is>
      </c>
      <c r="K27" s="31" t="n"/>
      <c r="L27" s="30" t="n"/>
      <c r="M27" s="31" t="n"/>
      <c r="N27" s="30" t="n"/>
      <c r="O27" s="31" t="n"/>
      <c r="P27" s="30" t="n"/>
      <c r="Q27" s="31" t="n"/>
      <c r="R27" s="30" t="n"/>
      <c r="S27" s="31" t="n"/>
      <c r="T27" s="30" t="n"/>
      <c r="U27" s="31" t="n"/>
      <c r="V27" s="30" t="n"/>
      <c r="W27" s="31" t="n"/>
      <c r="X27" s="30" t="n"/>
      <c r="Y27" s="31" t="n"/>
      <c r="Z27" s="30" t="n"/>
      <c r="AA27" s="31" t="n"/>
      <c r="AB27" s="30" t="n"/>
      <c r="AC27" s="31" t="n"/>
      <c r="AD27" s="30" t="n"/>
      <c r="AE27" s="31" t="n"/>
      <c r="AF27" s="30" t="n"/>
      <c r="AG27" s="31" t="n"/>
      <c r="AH27" s="30" t="n"/>
      <c r="AI27" s="31" t="n"/>
      <c r="AJ27" s="30" t="n"/>
      <c r="AK27" s="31" t="n"/>
    </row>
    <row r="28" ht="24" customHeight="1">
      <c r="B28" s="26" t="inlineStr">
        <is>
          <t>Section B</t>
        </is>
      </c>
      <c r="C28" s="27" t="inlineStr">
        <is>
          <t>Routing &amp; the week</t>
        </is>
      </c>
      <c r="D28" s="28" t="inlineStr">
        <is>
          <t>Routing, sequencing, front-loading, week balancing</t>
        </is>
      </c>
      <c r="F28" s="30" t="inlineStr">
        <is>
          <t>4 — Most of it</t>
        </is>
      </c>
      <c r="G28" s="31" t="n"/>
      <c r="H28" s="30" t="inlineStr">
        <is>
          <t>4 — Most of it</t>
        </is>
      </c>
      <c r="I28" s="31" t="inlineStr">
        <is>
          <t>Genuine routing optimiser, OpenStreetMap, mileage cost function (C2). Best routing answer in the field so far.</t>
        </is>
      </c>
      <c r="J28" s="30" t="inlineStr">
        <is>
          <t>3 — More than half</t>
        </is>
      </c>
      <c r="K28" s="31" t="n"/>
      <c r="L28" s="30" t="n"/>
      <c r="M28" s="31" t="n"/>
      <c r="N28" s="30" t="n"/>
      <c r="O28" s="31" t="n"/>
      <c r="P28" s="30" t="n"/>
      <c r="Q28" s="31" t="n"/>
      <c r="R28" s="30" t="n"/>
      <c r="S28" s="31" t="n"/>
      <c r="T28" s="30" t="n"/>
      <c r="U28" s="31" t="n"/>
      <c r="V28" s="30" t="n"/>
      <c r="W28" s="31" t="n"/>
      <c r="X28" s="30" t="n"/>
      <c r="Y28" s="31" t="n"/>
      <c r="Z28" s="30" t="n"/>
      <c r="AA28" s="31" t="n"/>
      <c r="AB28" s="30" t="n"/>
      <c r="AC28" s="31" t="n"/>
      <c r="AD28" s="30" t="n"/>
      <c r="AE28" s="31" t="n"/>
      <c r="AF28" s="30" t="n"/>
      <c r="AG28" s="31" t="n"/>
      <c r="AH28" s="30" t="n"/>
      <c r="AI28" s="31" t="n"/>
      <c r="AJ28" s="30" t="n"/>
      <c r="AK28" s="31" t="n"/>
    </row>
    <row r="29" ht="24" customHeight="1">
      <c r="B29" s="26" t="inlineStr">
        <is>
          <t>Section B</t>
        </is>
      </c>
      <c r="C29" s="27" t="inlineStr">
        <is>
          <t>Exceptions</t>
        </is>
      </c>
      <c r="D29" s="28" t="inlineStr">
        <is>
          <t>Missed visits, call-outs, reassignment, coverage, rebooking</t>
        </is>
      </c>
      <c r="F29" s="30" t="inlineStr">
        <is>
          <t>3 — More than half</t>
        </is>
      </c>
      <c r="G29" s="31" t="n"/>
      <c r="H29" s="30" t="inlineStr">
        <is>
          <t>2 — About half</t>
        </is>
      </c>
      <c r="I29" s="31" t="n"/>
      <c r="J29" s="30" t="inlineStr">
        <is>
          <t>3 — More than half</t>
        </is>
      </c>
      <c r="K29" s="31" t="n"/>
      <c r="L29" s="30" t="n"/>
      <c r="M29" s="31" t="n"/>
      <c r="N29" s="30" t="n"/>
      <c r="O29" s="31" t="n"/>
      <c r="P29" s="30" t="n"/>
      <c r="Q29" s="31" t="n"/>
      <c r="R29" s="30" t="n"/>
      <c r="S29" s="31" t="n"/>
      <c r="T29" s="30" t="n"/>
      <c r="U29" s="31" t="n"/>
      <c r="V29" s="30" t="n"/>
      <c r="W29" s="31" t="n"/>
      <c r="X29" s="30" t="n"/>
      <c r="Y29" s="31" t="n"/>
      <c r="Z29" s="30" t="n"/>
      <c r="AA29" s="31" t="n"/>
      <c r="AB29" s="30" t="n"/>
      <c r="AC29" s="31" t="n"/>
      <c r="AD29" s="30" t="n"/>
      <c r="AE29" s="31" t="n"/>
      <c r="AF29" s="30" t="n"/>
      <c r="AG29" s="31" t="n"/>
      <c r="AH29" s="30" t="n"/>
      <c r="AI29" s="31" t="n"/>
      <c r="AJ29" s="30" t="n"/>
      <c r="AK29" s="31" t="n"/>
    </row>
    <row r="30" ht="17" customHeight="1">
      <c r="B30" s="42" t="inlineStr">
        <is>
          <t>ENGAGEMENT   —   three marks of 0–4</t>
        </is>
      </c>
    </row>
    <row r="31" ht="24" customHeight="1">
      <c r="B31" s="32" t="inlineStr">
        <is>
          <t>Section B</t>
        </is>
      </c>
      <c r="C31" s="33" t="inlineStr">
        <is>
          <t>Before the visit</t>
        </is>
      </c>
      <c r="D31" s="34" t="inlineStr">
        <is>
          <t>Welcome call, availability capture, reminders, confirmation, en-route</t>
        </is>
      </c>
      <c r="E31" s="43">
        <f>'Start Here'!$C$13</f>
        <v/>
      </c>
      <c r="F31" s="36" t="inlineStr">
        <is>
          <t>2 — About half</t>
        </is>
      </c>
      <c r="G31" s="37" t="n"/>
      <c r="H31" s="36" t="inlineStr">
        <is>
          <t>1 — A corner of it</t>
        </is>
      </c>
      <c r="I31" s="37" t="n"/>
      <c r="J31" s="36" t="inlineStr">
        <is>
          <t>3 — More than half</t>
        </is>
      </c>
      <c r="K31" s="37" t="n"/>
      <c r="L31" s="36" t="n"/>
      <c r="M31" s="37" t="n"/>
      <c r="N31" s="36" t="n"/>
      <c r="O31" s="37" t="n"/>
      <c r="P31" s="36" t="n"/>
      <c r="Q31" s="37" t="n"/>
      <c r="R31" s="36" t="n"/>
      <c r="S31" s="37" t="n"/>
      <c r="T31" s="36" t="n"/>
      <c r="U31" s="37" t="n"/>
      <c r="V31" s="36" t="n"/>
      <c r="W31" s="37" t="n"/>
      <c r="X31" s="36" t="n"/>
      <c r="Y31" s="37" t="n"/>
      <c r="Z31" s="36" t="n"/>
      <c r="AA31" s="37" t="n"/>
      <c r="AB31" s="36" t="n"/>
      <c r="AC31" s="37" t="n"/>
      <c r="AD31" s="36" t="n"/>
      <c r="AE31" s="37" t="n"/>
      <c r="AF31" s="36" t="n"/>
      <c r="AG31" s="37" t="n"/>
      <c r="AH31" s="36" t="n"/>
      <c r="AI31" s="37" t="n"/>
      <c r="AJ31" s="36" t="n"/>
      <c r="AK31" s="37" t="n"/>
    </row>
    <row r="32" ht="24" customHeight="1">
      <c r="B32" s="32" t="inlineStr">
        <is>
          <t>Section B</t>
        </is>
      </c>
      <c r="C32" s="33" t="inlineStr">
        <is>
          <t>When plans change</t>
        </is>
      </c>
      <c r="D32" s="34" t="inlineStr">
        <is>
          <t>Reschedule, coverage outreach, urgent same-day needs, incentives</t>
        </is>
      </c>
      <c r="F32" s="36" t="inlineStr">
        <is>
          <t>2 — About half</t>
        </is>
      </c>
      <c r="G32" s="37" t="n"/>
      <c r="H32" s="36" t="inlineStr">
        <is>
          <t>1 — A corner of it</t>
        </is>
      </c>
      <c r="I32" s="37" t="n"/>
      <c r="J32" s="36" t="inlineStr">
        <is>
          <t>4 — Most of it</t>
        </is>
      </c>
      <c r="K32" s="37" t="inlineStr">
        <is>
          <t>Agentic outreach genuinely running — voice and text, staff can take the conversation back mid-call (C7).</t>
        </is>
      </c>
      <c r="L32" s="36" t="n"/>
      <c r="M32" s="37" t="n"/>
      <c r="N32" s="36" t="n"/>
      <c r="O32" s="37" t="n"/>
      <c r="P32" s="36" t="n"/>
      <c r="Q32" s="37" t="n"/>
      <c r="R32" s="36" t="n"/>
      <c r="S32" s="37" t="n"/>
      <c r="T32" s="36" t="n"/>
      <c r="U32" s="37" t="n"/>
      <c r="V32" s="36" t="n"/>
      <c r="W32" s="37" t="n"/>
      <c r="X32" s="36" t="n"/>
      <c r="Y32" s="37" t="n"/>
      <c r="Z32" s="36" t="n"/>
      <c r="AA32" s="37" t="n"/>
      <c r="AB32" s="36" t="n"/>
      <c r="AC32" s="37" t="n"/>
      <c r="AD32" s="36" t="n"/>
      <c r="AE32" s="37" t="n"/>
      <c r="AF32" s="36" t="n"/>
      <c r="AG32" s="37" t="n"/>
      <c r="AH32" s="36" t="n"/>
      <c r="AI32" s="37" t="n"/>
      <c r="AJ32" s="36" t="n"/>
      <c r="AK32" s="37" t="n"/>
    </row>
    <row r="33" ht="24" customHeight="1">
      <c r="B33" s="32" t="inlineStr">
        <is>
          <t>Section B</t>
        </is>
      </c>
      <c r="C33" s="33" t="inlineStr">
        <is>
          <t>Across the care team</t>
        </is>
      </c>
      <c r="D33" s="34" t="inlineStr">
        <is>
          <t>Multi-discipline coordination, clinician and office updates</t>
        </is>
      </c>
      <c r="F33" s="36" t="inlineStr">
        <is>
          <t>1 — A corner of it</t>
        </is>
      </c>
      <c r="G33" s="37" t="n"/>
      <c r="H33" s="36" t="inlineStr">
        <is>
          <t>0 — Nothing here</t>
        </is>
      </c>
      <c r="I33" s="37" t="n"/>
      <c r="J33" s="36" t="inlineStr">
        <is>
          <t>2 — About half</t>
        </is>
      </c>
      <c r="K33" s="37" t="n"/>
      <c r="L33" s="36" t="n"/>
      <c r="M33" s="37" t="n"/>
      <c r="N33" s="36" t="n"/>
      <c r="O33" s="37" t="n"/>
      <c r="P33" s="36" t="n"/>
      <c r="Q33" s="37" t="n"/>
      <c r="R33" s="36" t="n"/>
      <c r="S33" s="37" t="n"/>
      <c r="T33" s="36" t="n"/>
      <c r="U33" s="37" t="n"/>
      <c r="V33" s="36" t="n"/>
      <c r="W33" s="37" t="n"/>
      <c r="X33" s="36" t="n"/>
      <c r="Y33" s="37" t="n"/>
      <c r="Z33" s="36" t="n"/>
      <c r="AA33" s="37" t="n"/>
      <c r="AB33" s="36" t="n"/>
      <c r="AC33" s="37" t="n"/>
      <c r="AD33" s="36" t="n"/>
      <c r="AE33" s="37" t="n"/>
      <c r="AF33" s="36" t="n"/>
      <c r="AG33" s="37" t="n"/>
      <c r="AH33" s="36" t="n"/>
      <c r="AI33" s="37" t="n"/>
      <c r="AJ33" s="36" t="n"/>
      <c r="AK33" s="37" t="n"/>
    </row>
    <row r="35" ht="21" customHeight="1">
      <c r="B35" s="25" t="inlineStr">
        <is>
          <t>C  ·  HOW YOUR PRODUCT WORKS</t>
        </is>
      </c>
    </row>
    <row r="36" ht="26" customHeight="1">
      <c r="B36" s="26" t="inlineStr">
        <is>
          <t>Section C</t>
        </is>
      </c>
      <c r="C36" s="27" t="inlineStr">
        <is>
          <t>Sophistication</t>
        </is>
      </c>
      <c r="D36" s="28" t="inlineStr">
        <is>
          <t>How much of the work the product does</t>
        </is>
      </c>
      <c r="E36" s="44">
        <f>'Start Here'!$C$14</f>
        <v/>
      </c>
      <c r="F36" s="30" t="inlineStr">
        <is>
          <t>4 — Runs it</t>
        </is>
      </c>
      <c r="G36" s="31" t="inlineStr">
        <is>
          <t>Constraint solver, named weights, shows envelope impact before a referral is accepted. Only answer that does this.</t>
        </is>
      </c>
      <c r="H36" s="30" t="inlineStr">
        <is>
          <t>3 — Recommends it</t>
        </is>
      </c>
      <c r="I36" s="31" t="n"/>
      <c r="J36" s="30" t="inlineStr">
        <is>
          <t>3 — Recommends it</t>
        </is>
      </c>
      <c r="K36" s="31" t="n"/>
      <c r="L36" s="30" t="n"/>
      <c r="M36" s="31" t="n"/>
      <c r="N36" s="30" t="n"/>
      <c r="O36" s="31" t="n"/>
      <c r="P36" s="30" t="n"/>
      <c r="Q36" s="31" t="n"/>
      <c r="R36" s="30" t="n"/>
      <c r="S36" s="31" t="n"/>
      <c r="T36" s="30" t="n"/>
      <c r="U36" s="31" t="n"/>
      <c r="V36" s="30" t="n"/>
      <c r="W36" s="31" t="n"/>
      <c r="X36" s="30" t="n"/>
      <c r="Y36" s="31" t="n"/>
      <c r="Z36" s="30" t="n"/>
      <c r="AA36" s="31" t="n"/>
      <c r="AB36" s="30" t="n"/>
      <c r="AC36" s="31" t="n"/>
      <c r="AD36" s="30" t="n"/>
      <c r="AE36" s="31" t="n"/>
      <c r="AF36" s="30" t="n"/>
      <c r="AG36" s="31" t="n"/>
      <c r="AH36" s="30" t="n"/>
      <c r="AI36" s="31" t="n"/>
      <c r="AJ36" s="30" t="n"/>
      <c r="AK36" s="31" t="n"/>
    </row>
    <row r="37" ht="24" customHeight="1">
      <c r="B37" s="32" t="inlineStr">
        <is>
          <t>C6</t>
        </is>
      </c>
      <c r="C37" s="33" t="inlineStr">
        <is>
          <t>When your product is down</t>
        </is>
      </c>
      <c r="D37" s="34" t="inlineStr">
        <is>
          <t>Stop-check if no uptime figure or contractual commitment</t>
        </is>
      </c>
      <c r="E37" s="35" t="n"/>
      <c r="F37" s="36" t="inlineStr">
        <is>
          <t>OK</t>
        </is>
      </c>
      <c r="G37" s="37" t="n"/>
      <c r="H37" s="36" t="inlineStr">
        <is>
          <t>OK</t>
        </is>
      </c>
      <c r="I37" s="37" t="n"/>
      <c r="J37" s="36" t="inlineStr">
        <is>
          <t>Watch</t>
        </is>
      </c>
      <c r="K37" s="37" t="inlineStr">
        <is>
          <t>99.5% stated, no contractual commitment named. Ask.</t>
        </is>
      </c>
      <c r="L37" s="36" t="n"/>
      <c r="M37" s="37" t="n"/>
      <c r="N37" s="36" t="n"/>
      <c r="O37" s="37" t="n"/>
      <c r="P37" s="36" t="n"/>
      <c r="Q37" s="37" t="n"/>
      <c r="R37" s="36" t="n"/>
      <c r="S37" s="37" t="n"/>
      <c r="T37" s="36" t="n"/>
      <c r="U37" s="37" t="n"/>
      <c r="V37" s="36" t="n"/>
      <c r="W37" s="37" t="n"/>
      <c r="X37" s="36" t="n"/>
      <c r="Y37" s="37" t="n"/>
      <c r="Z37" s="36" t="n"/>
      <c r="AA37" s="37" t="n"/>
      <c r="AB37" s="36" t="n"/>
      <c r="AC37" s="37" t="n"/>
      <c r="AD37" s="36" t="n"/>
      <c r="AE37" s="37" t="n"/>
      <c r="AF37" s="36" t="n"/>
      <c r="AG37" s="37" t="n"/>
      <c r="AH37" s="36" t="n"/>
      <c r="AI37" s="37" t="n"/>
      <c r="AJ37" s="36" t="n"/>
      <c r="AK37" s="37" t="n"/>
    </row>
    <row r="39" ht="21" customHeight="1">
      <c r="B39" s="25" t="inlineStr">
        <is>
          <t>D  ·  THE CLINICIAN'S PLACE IN THE MODEL</t>
        </is>
      </c>
    </row>
    <row r="40" ht="26" customHeight="1">
      <c r="B40" s="26" t="inlineStr">
        <is>
          <t>D1–D3</t>
        </is>
      </c>
      <c r="C40" s="27" t="inlineStr">
        <is>
          <t>Clinician fit</t>
        </is>
      </c>
      <c r="D40" s="28" t="inlineStr">
        <is>
          <t>Our own read of fit — no checklist, on purpose</t>
        </is>
      </c>
      <c r="E40" s="45">
        <f>'Start Here'!$C$15</f>
        <v/>
      </c>
      <c r="F40" s="30" t="inlineStr">
        <is>
          <t>3 — Good fit</t>
        </is>
      </c>
      <c r="G40" s="31" t="n"/>
      <c r="H40" s="30" t="inlineStr">
        <is>
          <t>2 — Workable</t>
        </is>
      </c>
      <c r="I40" s="31" t="n"/>
      <c r="J40" s="30" t="inlineStr">
        <is>
          <t>3 — Good fit</t>
        </is>
      </c>
      <c r="K40" s="31" t="n"/>
      <c r="L40" s="30" t="n"/>
      <c r="M40" s="31" t="n"/>
      <c r="N40" s="30" t="n"/>
      <c r="O40" s="31" t="n"/>
      <c r="P40" s="30" t="n"/>
      <c r="Q40" s="31" t="n"/>
      <c r="R40" s="30" t="n"/>
      <c r="S40" s="31" t="n"/>
      <c r="T40" s="30" t="n"/>
      <c r="U40" s="31" t="n"/>
      <c r="V40" s="30" t="n"/>
      <c r="W40" s="31" t="n"/>
      <c r="X40" s="30" t="n"/>
      <c r="Y40" s="31" t="n"/>
      <c r="Z40" s="30" t="n"/>
      <c r="AA40" s="31" t="n"/>
      <c r="AB40" s="30" t="n"/>
      <c r="AC40" s="31" t="n"/>
      <c r="AD40" s="30" t="n"/>
      <c r="AE40" s="31" t="n"/>
      <c r="AF40" s="30" t="n"/>
      <c r="AG40" s="31" t="n"/>
      <c r="AH40" s="30" t="n"/>
      <c r="AI40" s="31" t="n"/>
      <c r="AJ40" s="30" t="n"/>
      <c r="AK40" s="31" t="n"/>
    </row>
    <row r="42" ht="21" customHeight="1">
      <c r="B42" s="25" t="inlineStr">
        <is>
          <t>E  ·  FIT AND PARTNERSHIP</t>
        </is>
      </c>
    </row>
    <row r="43" ht="40" customHeight="1">
      <c r="B43" s="26" t="inlineStr">
        <is>
          <t>E1–E4</t>
        </is>
      </c>
      <c r="C43" s="27" t="inlineStr">
        <is>
          <t>Partnership</t>
        </is>
      </c>
      <c r="D43" s="28" t="inlineStr">
        <is>
          <t>Willing to build it with us, and open to a stake</t>
        </is>
      </c>
      <c r="E43" s="45">
        <f>'Start Here'!$C$16</f>
        <v/>
      </c>
      <c r="F43" s="30" t="inlineStr">
        <is>
          <t>3 — Builds to our needs; ownership unaddressed</t>
        </is>
      </c>
      <c r="G43" s="31" t="n"/>
      <c r="H43" s="30" t="inlineStr">
        <is>
          <t>2 — Takes our input; they own the roadmap</t>
        </is>
      </c>
      <c r="I43" s="31" t="n"/>
      <c r="J43" s="30" t="inlineStr">
        <is>
          <t>4 — Open to equity, and set up to build with us</t>
        </is>
      </c>
      <c r="K43" s="31" t="inlineStr">
        <is>
          <t>Proposed design-partner pricing plus an equity conversation, unprompted, in E2. Only vendor to raise ownership.</t>
        </is>
      </c>
      <c r="L43" s="30" t="n"/>
      <c r="M43" s="31" t="n"/>
      <c r="N43" s="30" t="n"/>
      <c r="O43" s="31" t="n"/>
      <c r="P43" s="30" t="n"/>
      <c r="Q43" s="31" t="n"/>
      <c r="R43" s="30" t="n"/>
      <c r="S43" s="31" t="n"/>
      <c r="T43" s="30" t="n"/>
      <c r="U43" s="31" t="n"/>
      <c r="V43" s="30" t="n"/>
      <c r="W43" s="31" t="n"/>
      <c r="X43" s="30" t="n"/>
      <c r="Y43" s="31" t="n"/>
      <c r="Z43" s="30" t="n"/>
      <c r="AA43" s="31" t="n"/>
      <c r="AB43" s="30" t="n"/>
      <c r="AC43" s="31" t="n"/>
      <c r="AD43" s="30" t="n"/>
      <c r="AE43" s="31" t="n"/>
      <c r="AF43" s="30" t="n"/>
      <c r="AG43" s="31" t="n"/>
      <c r="AH43" s="30" t="n"/>
      <c r="AI43" s="31" t="n"/>
      <c r="AJ43" s="30" t="n"/>
      <c r="AK43" s="31" t="n"/>
    </row>
    <row r="45" ht="21" customHeight="1">
      <c r="B45" s="16" t="inlineStr">
        <is>
          <t>INTANGIBLES   —   no points.  Strong, Neutral or Concern, and why.</t>
        </is>
      </c>
    </row>
    <row r="46" ht="26" customHeight="1">
      <c r="B46" s="46" t="inlineStr">
        <is>
          <t xml:space="preserve">    Fill these after the scored sections, and let them contradict the number if that is what you see. Write the reason and your initials — in the working session someone will ask what specifically gave you that read.</t>
        </is>
      </c>
    </row>
    <row r="47" ht="28" customHeight="1">
      <c r="B47" s="32" t="inlineStr">
        <is>
          <t>Feel</t>
        </is>
      </c>
      <c r="C47" s="33" t="inlineStr">
        <is>
          <t>Home health fluency</t>
        </is>
      </c>
      <c r="D47" s="34" t="inlineStr">
        <is>
          <t>Do these read like people who have stood in a branch? Unprompted vocabulary, problems they raise that we did not ask about.</t>
        </is>
      </c>
      <c r="E47" s="35" t="n"/>
      <c r="F47" s="36" t="inlineStr">
        <is>
          <t>Strong</t>
        </is>
      </c>
      <c r="G47" s="37" t="inlineStr">
        <is>
          <t>Uses LUPA and recert windows unprompted; raised infection-control sequencing we never asked about. — MW</t>
        </is>
      </c>
      <c r="H47" s="36" t="inlineStr">
        <is>
          <t>Neutral</t>
        </is>
      </c>
      <c r="I47" s="37" t="inlineStr">
        <is>
          <t>Competent scheduling language, no home health specifics. Reads like a logistics product that found a vertical. — MW</t>
        </is>
      </c>
      <c r="J47" s="36" t="inlineStr">
        <is>
          <t>Strong</t>
        </is>
      </c>
      <c r="K47" s="37" t="inlineStr">
        <is>
          <t>Raised payer-mix-aware sequencing, which is not on our one-pager and probably should be. — MW</t>
        </is>
      </c>
      <c r="L47" s="36" t="n"/>
      <c r="M47" s="37" t="n"/>
      <c r="N47" s="36" t="n"/>
      <c r="O47" s="37" t="n"/>
      <c r="P47" s="36" t="n"/>
      <c r="Q47" s="37" t="n"/>
      <c r="R47" s="36" t="n"/>
      <c r="S47" s="37" t="n"/>
      <c r="T47" s="36" t="n"/>
      <c r="U47" s="37" t="n"/>
      <c r="V47" s="36" t="n"/>
      <c r="W47" s="37" t="n"/>
      <c r="X47" s="36" t="n"/>
      <c r="Y47" s="37" t="n"/>
      <c r="Z47" s="36" t="n"/>
      <c r="AA47" s="37" t="n"/>
      <c r="AB47" s="36" t="n"/>
      <c r="AC47" s="37" t="n"/>
      <c r="AD47" s="36" t="n"/>
      <c r="AE47" s="37" t="n"/>
      <c r="AF47" s="36" t="n"/>
      <c r="AG47" s="37" t="n"/>
      <c r="AH47" s="36" t="n"/>
      <c r="AI47" s="37" t="n"/>
      <c r="AJ47" s="36" t="n"/>
      <c r="AK47" s="37" t="n"/>
    </row>
    <row r="48" ht="28" customHeight="1">
      <c r="B48" s="32" t="inlineStr">
        <is>
          <t>Feel</t>
        </is>
      </c>
      <c r="C48" s="33" t="inlineStr">
        <is>
          <t>Candor about gaps</t>
        </is>
      </c>
      <c r="D48" s="34" t="inlineStr">
        <is>
          <t>Did they say 'we don't do that' anywhere? A vendor who claims everything has told us something.</t>
        </is>
      </c>
      <c r="E48" s="35" t="n"/>
      <c r="F48" s="36" t="inlineStr">
        <is>
          <t>Strong</t>
        </is>
      </c>
      <c r="G48" s="37" t="inlineStr">
        <is>
          <t>Says plainly they do not do patient outreach. First vendor to admit anything. — MW</t>
        </is>
      </c>
      <c r="H48" s="36" t="inlineStr">
        <is>
          <t>Concern</t>
        </is>
      </c>
      <c r="I48" s="37" t="inlineStr">
        <is>
          <t>Marked all eleven areas in scope, then Section C covered four of them. — MW</t>
        </is>
      </c>
      <c r="J48" s="36" t="inlineStr">
        <is>
          <t>Strong</t>
        </is>
      </c>
      <c r="K48" s="37" t="inlineStr">
        <is>
          <t>Volunteered that their capacity model is weaker than their engagement side. Cost them points and they said it anyway. — MW</t>
        </is>
      </c>
      <c r="L48" s="36" t="n"/>
      <c r="M48" s="37" t="n"/>
      <c r="N48" s="36" t="n"/>
      <c r="O48" s="37" t="n"/>
      <c r="P48" s="36" t="n"/>
      <c r="Q48" s="37" t="n"/>
      <c r="R48" s="36" t="n"/>
      <c r="S48" s="37" t="n"/>
      <c r="T48" s="36" t="n"/>
      <c r="U48" s="37" t="n"/>
      <c r="V48" s="36" t="n"/>
      <c r="W48" s="37" t="n"/>
      <c r="X48" s="36" t="n"/>
      <c r="Y48" s="37" t="n"/>
      <c r="Z48" s="36" t="n"/>
      <c r="AA48" s="37" t="n"/>
      <c r="AB48" s="36" t="n"/>
      <c r="AC48" s="37" t="n"/>
      <c r="AD48" s="36" t="n"/>
      <c r="AE48" s="37" t="n"/>
      <c r="AF48" s="36" t="n"/>
      <c r="AG48" s="37" t="n"/>
      <c r="AH48" s="36" t="n"/>
      <c r="AI48" s="37" t="n"/>
      <c r="AJ48" s="36" t="n"/>
      <c r="AK48" s="37" t="n"/>
    </row>
    <row r="49" ht="28" customHeight="1">
      <c r="B49" s="32" t="inlineStr">
        <is>
          <t>Feel</t>
        </is>
      </c>
      <c r="C49" s="33" t="inlineStr">
        <is>
          <t>Who wrote this</t>
        </is>
      </c>
      <c r="D49" s="34" t="inlineStr">
        <is>
          <t>Marketing, sales engineer, or someone who built it. Specificity, and willingness to name a constraint.</t>
        </is>
      </c>
      <c r="E49" s="35" t="n"/>
      <c r="F49" s="36" t="inlineStr">
        <is>
          <t>Strong</t>
        </is>
      </c>
      <c r="G49" s="37" t="inlineStr">
        <is>
          <t>C5 reads like someone who has been paged at 2am. Named their escalation ladder without being asked. — MW</t>
        </is>
      </c>
      <c r="H49" s="36" t="inlineStr">
        <is>
          <t>Concern</t>
        </is>
      </c>
      <c r="I49" s="37" t="inlineStr">
        <is>
          <t>Section C is marketing prose. No mechanism anywhere. — MW</t>
        </is>
      </c>
      <c r="J49" s="36" t="inlineStr">
        <is>
          <t>Strong</t>
        </is>
      </c>
      <c r="K49" s="37" t="inlineStr">
        <is>
          <t>E4 names what they chose not to build and why. That is a product mind. — MW</t>
        </is>
      </c>
      <c r="L49" s="36" t="n"/>
      <c r="M49" s="37" t="n"/>
      <c r="N49" s="36" t="n"/>
      <c r="O49" s="37" t="n"/>
      <c r="P49" s="36" t="n"/>
      <c r="Q49" s="37" t="n"/>
      <c r="R49" s="36" t="n"/>
      <c r="S49" s="37" t="n"/>
      <c r="T49" s="36" t="n"/>
      <c r="U49" s="37" t="n"/>
      <c r="V49" s="36" t="n"/>
      <c r="W49" s="37" t="n"/>
      <c r="X49" s="36" t="n"/>
      <c r="Y49" s="37" t="n"/>
      <c r="Z49" s="36" t="n"/>
      <c r="AA49" s="37" t="n"/>
      <c r="AB49" s="36" t="n"/>
      <c r="AC49" s="37" t="n"/>
      <c r="AD49" s="36" t="n"/>
      <c r="AE49" s="37" t="n"/>
      <c r="AF49" s="36" t="n"/>
      <c r="AG49" s="37" t="n"/>
      <c r="AH49" s="36" t="n"/>
      <c r="AI49" s="37" t="n"/>
      <c r="AJ49" s="36" t="n"/>
      <c r="AK49" s="37" t="n"/>
    </row>
    <row r="50" ht="28" customHeight="1">
      <c r="B50" s="32" t="inlineStr">
        <is>
          <t>Feel</t>
        </is>
      </c>
      <c r="C50" s="33" t="inlineStr">
        <is>
          <t>Durability</t>
        </is>
      </c>
      <c r="D50" s="34" t="inlineStr">
        <is>
          <t>Will they exist in three years, and will this still be their main business? Are we uncomfortably their largest customer?</t>
        </is>
      </c>
      <c r="E50" s="35" t="n"/>
      <c r="F50" s="36" t="inlineStr">
        <is>
          <t>Neutral</t>
        </is>
      </c>
      <c r="G50" s="37" t="inlineStr">
        <is>
          <t>Series B, 60 people. We would be their largest by roughly 3x. — MW</t>
        </is>
      </c>
      <c r="H50" s="36" t="inlineStr">
        <is>
          <t>Concern</t>
        </is>
      </c>
      <c r="I50" s="37" t="inlineStr">
        <is>
          <t>Seed stage, 12 people, we would be 5x their largest. — MW</t>
        </is>
      </c>
      <c r="J50" s="36" t="inlineStr">
        <is>
          <t>Concern</t>
        </is>
      </c>
      <c r="K50" s="37" t="inlineStr">
        <is>
          <t>Newest company in the field. The integration is a promise on their timeline, not ours. — MW</t>
        </is>
      </c>
      <c r="L50" s="36" t="n"/>
      <c r="M50" s="37" t="n"/>
      <c r="N50" s="36" t="n"/>
      <c r="O50" s="37" t="n"/>
      <c r="P50" s="36" t="n"/>
      <c r="Q50" s="37" t="n"/>
      <c r="R50" s="36" t="n"/>
      <c r="S50" s="37" t="n"/>
      <c r="T50" s="36" t="n"/>
      <c r="U50" s="37" t="n"/>
      <c r="V50" s="36" t="n"/>
      <c r="W50" s="37" t="n"/>
      <c r="X50" s="36" t="n"/>
      <c r="Y50" s="37" t="n"/>
      <c r="Z50" s="36" t="n"/>
      <c r="AA50" s="37" t="n"/>
      <c r="AB50" s="36" t="n"/>
      <c r="AC50" s="37" t="n"/>
      <c r="AD50" s="36" t="n"/>
      <c r="AE50" s="37" t="n"/>
      <c r="AF50" s="36" t="n"/>
      <c r="AG50" s="37" t="n"/>
      <c r="AH50" s="36" t="n"/>
      <c r="AI50" s="37" t="n"/>
      <c r="AJ50" s="36" t="n"/>
      <c r="AK50" s="37" t="n"/>
    </row>
    <row r="51" ht="28" customHeight="1">
      <c r="B51" s="32" t="inlineStr">
        <is>
          <t>Feel</t>
        </is>
      </c>
      <c r="C51" s="33" t="inlineStr">
        <is>
          <t>The room test</t>
        </is>
      </c>
      <c r="D51" s="34" t="inlineStr">
        <is>
          <t>Would we want these people in our building for two years? Leave blank until after the demo — on purpose.</t>
        </is>
      </c>
      <c r="E51" s="35" t="n"/>
      <c r="F51" s="36" t="inlineStr"/>
      <c r="G51" s="37" t="inlineStr"/>
      <c r="H51" s="36" t="inlineStr"/>
      <c r="I51" s="37" t="inlineStr"/>
      <c r="J51" s="36" t="inlineStr"/>
      <c r="K51" s="37" t="inlineStr"/>
      <c r="L51" s="36" t="n"/>
      <c r="M51" s="37" t="n"/>
      <c r="N51" s="36" t="n"/>
      <c r="O51" s="37" t="n"/>
      <c r="P51" s="36" t="n"/>
      <c r="Q51" s="37" t="n"/>
      <c r="R51" s="36" t="n"/>
      <c r="S51" s="37" t="n"/>
      <c r="T51" s="36" t="n"/>
      <c r="U51" s="37" t="n"/>
      <c r="V51" s="36" t="n"/>
      <c r="W51" s="37" t="n"/>
      <c r="X51" s="36" t="n"/>
      <c r="Y51" s="37" t="n"/>
      <c r="Z51" s="36" t="n"/>
      <c r="AA51" s="37" t="n"/>
      <c r="AB51" s="36" t="n"/>
      <c r="AC51" s="37" t="n"/>
      <c r="AD51" s="36" t="n"/>
      <c r="AE51" s="37" t="n"/>
      <c r="AF51" s="36" t="n"/>
      <c r="AG51" s="37" t="n"/>
      <c r="AH51" s="36" t="n"/>
      <c r="AI51" s="37" t="n"/>
      <c r="AJ51" s="36" t="n"/>
      <c r="AK51" s="37" t="n"/>
    </row>
    <row r="53" ht="21" customHeight="1">
      <c r="B53" s="47" t="inlineStr">
        <is>
          <t>NOTES   —   one line each.  This is what we go and ask.</t>
        </is>
      </c>
    </row>
    <row r="54" ht="54" customHeight="1">
      <c r="C54" s="48" t="inlineStr">
        <is>
          <t>What stands out</t>
        </is>
      </c>
      <c r="D54" s="49" t="inlineStr">
        <is>
          <t>against the field, or against our own thinking</t>
        </is>
      </c>
      <c r="E54" s="50" t="inlineStr">
        <is>
          <t>—</t>
        </is>
      </c>
      <c r="F54" s="37" t="inlineStr">
        <is>
          <t>Only answer that shows a branch leader the envelope impact of a referral before accepting it.</t>
        </is>
      </c>
      <c r="H54" s="37" t="inlineStr">
        <is>
          <t>Strong routing engine — genuinely the best in the field so far.</t>
        </is>
      </c>
      <c r="J54" s="37" t="inlineStr">
        <is>
          <t>Only vendor to raise ownership unprompted, and the only real agentic outreach we have seen.</t>
        </is>
      </c>
      <c r="L54" s="37" t="n"/>
      <c r="N54" s="37" t="n"/>
      <c r="P54" s="37" t="n"/>
      <c r="R54" s="37" t="n"/>
      <c r="T54" s="37" t="n"/>
      <c r="V54" s="37" t="n"/>
      <c r="X54" s="37" t="n"/>
      <c r="Z54" s="37" t="n"/>
      <c r="AB54" s="37" t="n"/>
      <c r="AD54" s="37" t="n"/>
      <c r="AF54" s="37" t="n"/>
      <c r="AH54" s="37" t="n"/>
      <c r="AJ54" s="37" t="n"/>
    </row>
    <row r="55" ht="54" customHeight="1">
      <c r="C55" s="48" t="inlineStr">
        <is>
          <t>What worries me</t>
        </is>
      </c>
      <c r="D55" s="49" t="inlineStr">
        <is>
          <t>including anything flagged above</t>
        </is>
      </c>
      <c r="E55" s="50" t="inlineStr">
        <is>
          <t>—</t>
        </is>
      </c>
      <c r="F55" s="37" t="inlineStr">
        <is>
          <t>Impact figures come from one site. Engagement is genuinely thin, not modest.</t>
        </is>
      </c>
      <c r="H55" s="37" t="inlineStr">
        <is>
          <t>One customer, references not committed, and Section B claims outran Section C badly.</t>
        </is>
      </c>
      <c r="J55" s="37" t="inlineStr">
        <is>
          <t>Integration is a promise on their timeline. Youngest company in the field.</t>
        </is>
      </c>
      <c r="L55" s="37" t="n"/>
      <c r="N55" s="37" t="n"/>
      <c r="P55" s="37" t="n"/>
      <c r="R55" s="37" t="n"/>
      <c r="T55" s="37" t="n"/>
      <c r="V55" s="37" t="n"/>
      <c r="X55" s="37" t="n"/>
      <c r="Z55" s="37" t="n"/>
      <c r="AB55" s="37" t="n"/>
      <c r="AD55" s="37" t="n"/>
      <c r="AF55" s="37" t="n"/>
      <c r="AH55" s="37" t="n"/>
      <c r="AJ55" s="37" t="n"/>
    </row>
    <row r="56" ht="54" customHeight="1">
      <c r="C56" s="48" t="inlineStr">
        <is>
          <t>What to go and ask</t>
        </is>
      </c>
      <c r="D56" s="49" t="inlineStr">
        <is>
          <t>the demo agenda</t>
        </is>
      </c>
      <c r="E56" s="50" t="inlineStr">
        <is>
          <t>—</t>
        </is>
      </c>
      <c r="F56" s="37" t="inlineStr">
        <is>
          <t>Would they discuss a stake? Never mentioned it, and E2 was the shortest answer they gave.</t>
        </is>
      </c>
      <c r="H56" s="37" t="inlineStr">
        <is>
          <t>Make them walk the HCHB integration live. A nightly file drop is not what they said.</t>
        </is>
      </c>
      <c r="J56" s="37" t="inlineStr">
        <is>
          <t>What exactly is committed on the Q2 2027 date, and by whom? Get it in writing.</t>
        </is>
      </c>
      <c r="L56" s="37" t="n"/>
      <c r="N56" s="37" t="n"/>
      <c r="P56" s="37" t="n"/>
      <c r="R56" s="37" t="n"/>
      <c r="T56" s="37" t="n"/>
      <c r="V56" s="37" t="n"/>
      <c r="X56" s="37" t="n"/>
      <c r="Z56" s="37" t="n"/>
      <c r="AB56" s="37" t="n"/>
      <c r="AD56" s="37" t="n"/>
      <c r="AF56" s="37" t="n"/>
      <c r="AH56" s="37" t="n"/>
      <c r="AJ56" s="37" t="n"/>
    </row>
  </sheetData>
  <sheetProtection selectLockedCells="0" selectUnlockedCells="0" sheet="1" objects="0" insertRows="1" insertHyperlinks="1" autoFilter="1" scenarios="0" formatColumns="0" deleteColumns="1" insertColumns="1" pivotTables="1" deleteRows="1" formatCells="1" formatRows="0" sort="1"/>
  <mergeCells count="65">
    <mergeCell ref="B46:AK46"/>
    <mergeCell ref="V55:W55"/>
    <mergeCell ref="B22:AK22"/>
    <mergeCell ref="E27:E29"/>
    <mergeCell ref="AF56:AG56"/>
    <mergeCell ref="Z55:AA55"/>
    <mergeCell ref="AH56:AI56"/>
    <mergeCell ref="AJ56:AK56"/>
    <mergeCell ref="AB55:AC55"/>
    <mergeCell ref="D1:E1"/>
    <mergeCell ref="F54:G54"/>
    <mergeCell ref="B21:AK21"/>
    <mergeCell ref="H54:I54"/>
    <mergeCell ref="F1:AK1"/>
    <mergeCell ref="N54:O54"/>
    <mergeCell ref="B39:AK39"/>
    <mergeCell ref="H55:I55"/>
    <mergeCell ref="Z54:AA54"/>
    <mergeCell ref="B42:AK42"/>
    <mergeCell ref="AB54:AC54"/>
    <mergeCell ref="H56:I56"/>
    <mergeCell ref="N56:O56"/>
    <mergeCell ref="F55:G55"/>
    <mergeCell ref="P56:Q56"/>
    <mergeCell ref="T54:U54"/>
    <mergeCell ref="B53:AK53"/>
    <mergeCell ref="AF54:AG54"/>
    <mergeCell ref="T55:U55"/>
    <mergeCell ref="P55:Q55"/>
    <mergeCell ref="J55:K55"/>
    <mergeCell ref="AH55:AI55"/>
    <mergeCell ref="L55:M55"/>
    <mergeCell ref="R55:S55"/>
    <mergeCell ref="Z56:AA56"/>
    <mergeCell ref="AB56:AC56"/>
    <mergeCell ref="X55:Y55"/>
    <mergeCell ref="AF55:AG55"/>
    <mergeCell ref="J54:K54"/>
    <mergeCell ref="B30:AK30"/>
    <mergeCell ref="L54:M54"/>
    <mergeCell ref="R54:S54"/>
    <mergeCell ref="AD55:AE55"/>
    <mergeCell ref="AD54:AE54"/>
    <mergeCell ref="V54:W54"/>
    <mergeCell ref="V56:W56"/>
    <mergeCell ref="E23:E25"/>
    <mergeCell ref="F56:G56"/>
    <mergeCell ref="B45:AK45"/>
    <mergeCell ref="J56:K56"/>
    <mergeCell ref="AJ55:AK55"/>
    <mergeCell ref="L56:M56"/>
    <mergeCell ref="R56:S56"/>
    <mergeCell ref="T56:U56"/>
    <mergeCell ref="B26:AK26"/>
    <mergeCell ref="X54:Y54"/>
    <mergeCell ref="B35:AK35"/>
    <mergeCell ref="AH54:AI54"/>
    <mergeCell ref="B7:AK7"/>
    <mergeCell ref="AJ54:AK54"/>
    <mergeCell ref="B16:AK16"/>
    <mergeCell ref="E31:E33"/>
    <mergeCell ref="N55:O55"/>
    <mergeCell ref="X56:Y56"/>
    <mergeCell ref="AD56:AE56"/>
    <mergeCell ref="P54:Q54"/>
  </mergeCells>
  <conditionalFormatting sqref="F3:AJ3">
    <cfRule type="colorScale" priority="1">
      <colorScale>
        <cfvo type="num" val="40"/>
        <cfvo type="num" val="65"/>
        <cfvo type="num" val="90"/>
        <color rgb="00F5E3E3"/>
        <color rgb="00FBF3DD"/>
        <color rgb="00DDEBE0"/>
      </colorScale>
    </cfRule>
  </conditionalFormatting>
  <conditionalFormatting sqref="F8:AJ8">
    <cfRule type="colorScale" priority="2">
      <colorScale>
        <cfvo type="num" val="0"/>
        <cfvo type="num" val="1"/>
        <color rgb="00FFFFFF"/>
        <color rgb="003F7A50"/>
      </colorScale>
    </cfRule>
  </conditionalFormatting>
  <conditionalFormatting sqref="F9:AJ9">
    <cfRule type="colorScale" priority="3">
      <colorScale>
        <cfvo type="num" val="0"/>
        <cfvo type="num" val="1"/>
        <color rgb="00FFFFFF"/>
        <color rgb="003F7A50"/>
      </colorScale>
    </cfRule>
  </conditionalFormatting>
  <conditionalFormatting sqref="F10:AJ10">
    <cfRule type="colorScale" priority="4">
      <colorScale>
        <cfvo type="num" val="0"/>
        <cfvo type="num" val="1"/>
        <color rgb="00FFFFFF"/>
        <color rgb="003F7A50"/>
      </colorScale>
    </cfRule>
  </conditionalFormatting>
  <conditionalFormatting sqref="F11:AJ11">
    <cfRule type="colorScale" priority="5">
      <colorScale>
        <cfvo type="num" val="0"/>
        <cfvo type="num" val="1"/>
        <color rgb="00FFFFFF"/>
        <color rgb="003F7A50"/>
      </colorScale>
    </cfRule>
  </conditionalFormatting>
  <conditionalFormatting sqref="F12:AJ12">
    <cfRule type="colorScale" priority="6">
      <colorScale>
        <cfvo type="num" val="0"/>
        <cfvo type="num" val="1"/>
        <color rgb="00FFFFFF"/>
        <color rgb="003F7A50"/>
      </colorScale>
    </cfRule>
  </conditionalFormatting>
  <conditionalFormatting sqref="F13:AJ13">
    <cfRule type="colorScale" priority="7">
      <colorScale>
        <cfvo type="num" val="0"/>
        <cfvo type="num" val="1"/>
        <color rgb="00FFFFFF"/>
        <color rgb="003F7A50"/>
      </colorScale>
    </cfRule>
  </conditionalFormatting>
  <conditionalFormatting sqref="F14:AJ14">
    <cfRule type="colorScale" priority="8">
      <colorScale>
        <cfvo type="num" val="0"/>
        <cfvo type="num" val="1"/>
        <color rgb="00FFFFFF"/>
        <color rgb="003F7A50"/>
      </colorScale>
    </cfRule>
  </conditionalFormatting>
  <conditionalFormatting sqref="F18:AJ18">
    <cfRule type="expression" priority="9" dxfId="0">
      <formula>F18="STOP-CHECK"</formula>
    </cfRule>
    <cfRule type="expression" priority="10" dxfId="1">
      <formula>F18="Watch"</formula>
    </cfRule>
  </conditionalFormatting>
  <conditionalFormatting sqref="F19:AJ19">
    <cfRule type="expression" priority="11" dxfId="0">
      <formula>F19="STOP-CHECK"</formula>
    </cfRule>
    <cfRule type="expression" priority="12" dxfId="1">
      <formula>F19="Watch"</formula>
    </cfRule>
  </conditionalFormatting>
  <conditionalFormatting sqref="F37:AJ37">
    <cfRule type="expression" priority="13" dxfId="0">
      <formula>F37="STOP-CHECK"</formula>
    </cfRule>
    <cfRule type="expression" priority="14" dxfId="1">
      <formula>F37="Watch"</formula>
    </cfRule>
  </conditionalFormatting>
  <conditionalFormatting sqref="F47:AJ47">
    <cfRule type="expression" priority="15" dxfId="0">
      <formula>F47="Concern"</formula>
    </cfRule>
    <cfRule type="expression" priority="16" dxfId="2">
      <formula>F47="Strong"</formula>
    </cfRule>
  </conditionalFormatting>
  <conditionalFormatting sqref="F48:AJ48">
    <cfRule type="expression" priority="17" dxfId="0">
      <formula>F48="Concern"</formula>
    </cfRule>
    <cfRule type="expression" priority="18" dxfId="2">
      <formula>F48="Strong"</formula>
    </cfRule>
  </conditionalFormatting>
  <conditionalFormatting sqref="F49:AJ49">
    <cfRule type="expression" priority="19" dxfId="0">
      <formula>F49="Concern"</formula>
    </cfRule>
    <cfRule type="expression" priority="20" dxfId="2">
      <formula>F49="Strong"</formula>
    </cfRule>
  </conditionalFormatting>
  <conditionalFormatting sqref="F50:AJ50">
    <cfRule type="expression" priority="21" dxfId="0">
      <formula>F50="Concern"</formula>
    </cfRule>
    <cfRule type="expression" priority="22" dxfId="2">
      <formula>F50="Strong"</formula>
    </cfRule>
  </conditionalFormatting>
  <conditionalFormatting sqref="F51:AJ51">
    <cfRule type="expression" priority="23" dxfId="0">
      <formula>F51="Concern"</formula>
    </cfRule>
    <cfRule type="expression" priority="24" dxfId="2">
      <formula>F51="Strong"</formula>
    </cfRule>
  </conditionalFormatting>
  <conditionalFormatting sqref="F4:AJ4">
    <cfRule type="expression" priority="25" dxfId="1">
      <formula>ISNUMBER(SEARCH("Conditional",F4))</formula>
    </cfRule>
  </conditionalFormatting>
  <dataValidations count="21">
    <dataValidation sqref="F17 H17 J17 L17 N17 P17 R17 T17 V17 X17 Z17 AB17 AD17 AF17 AH17 AJ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3 H23 J23 L23 N23 P23 R23 T23 V23 X23 Z23 AB23 AD23 AF23 AH23 AJ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4 H24 J24 L24 N24 P24 R24 T24 V24 X24 Z24 AB24 AD24 AF24 AH24 AJ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5 H25 J25 L25 N25 P25 R25 T25 V25 X25 Z25 AB25 AD25 AF25 AH25 AJ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7 H27 J27 L27 N27 P27 R27 T27 V27 X27 Z27 AB27 AD27 AF27 AH27 AJ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8 H28 J28 L28 N28 P28 R28 T28 V28 X28 Z28 AB28 AD28 AF28 AH28 AJ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9 H29 J29 L29 N29 P29 R29 T29 V29 X29 Z29 AB29 AD29 AF29 AH29 AJ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1 H31 J31 L31 N31 P31 R31 T31 V31 X31 Z31 AB31 AD31 AF31 AH31 AJ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2 H32 J32 L32 N32 P32 R32 T32 V32 X32 Z32 AB32 AD32 AF32 AH32 AJ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3 H33 J33 L33 N33 P33 R33 T33 V33 X33 Z33 AB33 AD33 AF33 AH33 AJ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6 H36 J36 L36 N36 P36 R36 T36 V36 X36 Z36 AB36 AD36 AF36 AH36 AJ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0 H40 J40 L40 N40 P40 R40 T40 V40 X40 Z40 AB40 AD40 AF40 AH40 AJ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3 H43 J43 L43 N43 P43 R43 T43 V43 X43 Z43 AB43 AD43 AF43 AH43 AJ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18 H18 J18 L18 N18 P18 R18 T18 V18 X18 Z18 AB18 AD18 AF18 AH18 AJ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19 H19 J19 L19 N19 P19 R19 T19 V19 X19 Z19 AB19 AD19 AF19 AH19 AJ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37 H37 J37 L37 N37 P37 R37 T37 V37 X37 Z37 AB37 AD37 AF37 AH37 AJ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47 H47 J47 L47 N47 P47 R47 T47 V47 X47 Z47 AB47 AD47 AF47 AH47 AJ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48 H48 J48 L48 N48 P48 R48 T48 V48 X48 Z48 AB48 AD48 AF48 AH48 AJ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49 H49 J49 L49 N49 P49 R49 T49 V49 X49 Z49 AB49 AD49 AF49 AH49 AJ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50 H50 J50 L50 N50 P50 R50 T50 V50 X50 Z50 AB50 AD50 AF50 AH50 AJ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51 H51 J51 L51 N51 P51 R51 T51 V51 X51 Z51 AB51 AD51 AF51 AH51 AJ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B211E"/>
    <outlinePr summaryBelow="1" summaryRight="1"/>
    <pageSetUpPr fitToPage="1"/>
  </sheetPr>
  <dimension ref="B1:AK56"/>
  <sheetViews>
    <sheetView showGridLines="0" tabSelected="1" zoomScale="100" workbookViewId="0">
      <pane xSplit="5" ySplit="5" topLeftCell="F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1" ht="22" customHeight="1">
      <c r="C1" s="1" t="inlineStr">
        <is>
          <t>Vendor Scorecard</t>
        </is>
      </c>
      <c r="D1" s="2" t="inlineStr">
        <is>
          <t>COMPASSUS  ·  CAPACITY &amp; SCHEDULING</t>
        </is>
      </c>
      <c r="F1" s="3" t="inlineStr">
        <is>
          <t>Rows are the questionnaire, in order. Each vendor has a mark column and a notes column. Grey cells are formulas.</t>
        </is>
      </c>
    </row>
    <row r="2" ht="20" customHeight="1">
      <c r="B2" s="4" t="inlineStr">
        <is>
          <t>Q</t>
        </is>
      </c>
      <c r="C2" s="5" t="inlineStr">
        <is>
          <t>CRITERION</t>
        </is>
      </c>
      <c r="D2" s="5" t="inlineStr">
        <is>
          <t>WHAT IT COVERS</t>
        </is>
      </c>
      <c r="E2" s="4" t="inlineStr">
        <is>
          <t>WT</t>
        </is>
      </c>
      <c r="F2" s="6" t="inlineStr">
        <is>
          <t>Vendor 01</t>
        </is>
      </c>
      <c r="G2" s="7" t="inlineStr">
        <is>
          <t>NOTES  ·  JUSTIFICATION  ·  CLAIM vs EVIDENCE</t>
        </is>
      </c>
      <c r="H2" s="6" t="inlineStr">
        <is>
          <t>Vendor 02</t>
        </is>
      </c>
      <c r="I2" s="7" t="inlineStr">
        <is>
          <t>NOTES  ·  JUSTIFICATION  ·  CLAIM vs EVIDENCE</t>
        </is>
      </c>
      <c r="J2" s="6" t="inlineStr">
        <is>
          <t>Vendor 03</t>
        </is>
      </c>
      <c r="K2" s="7" t="inlineStr">
        <is>
          <t>NOTES  ·  JUSTIFICATION  ·  CLAIM vs EVIDENCE</t>
        </is>
      </c>
      <c r="L2" s="6" t="inlineStr">
        <is>
          <t>Vendor 04</t>
        </is>
      </c>
      <c r="M2" s="7" t="inlineStr">
        <is>
          <t>NOTES  ·  JUSTIFICATION  ·  CLAIM vs EVIDENCE</t>
        </is>
      </c>
      <c r="N2" s="6" t="inlineStr">
        <is>
          <t>Vendor 05</t>
        </is>
      </c>
      <c r="O2" s="7" t="inlineStr">
        <is>
          <t>NOTES  ·  JUSTIFICATION  ·  CLAIM vs EVIDENCE</t>
        </is>
      </c>
      <c r="P2" s="6" t="inlineStr">
        <is>
          <t>Vendor 06</t>
        </is>
      </c>
      <c r="Q2" s="7" t="inlineStr">
        <is>
          <t>NOTES  ·  JUSTIFICATION  ·  CLAIM vs EVIDENCE</t>
        </is>
      </c>
      <c r="R2" s="6" t="inlineStr">
        <is>
          <t>Vendor 07</t>
        </is>
      </c>
      <c r="S2" s="7" t="inlineStr">
        <is>
          <t>NOTES  ·  JUSTIFICATION  ·  CLAIM vs EVIDENCE</t>
        </is>
      </c>
      <c r="T2" s="6" t="inlineStr">
        <is>
          <t>Vendor 08</t>
        </is>
      </c>
      <c r="U2" s="7" t="inlineStr">
        <is>
          <t>NOTES  ·  JUSTIFICATION  ·  CLAIM vs EVIDENCE</t>
        </is>
      </c>
      <c r="V2" s="6" t="inlineStr">
        <is>
          <t>Vendor 09</t>
        </is>
      </c>
      <c r="W2" s="7" t="inlineStr">
        <is>
          <t>NOTES  ·  JUSTIFICATION  ·  CLAIM vs EVIDENCE</t>
        </is>
      </c>
      <c r="X2" s="6" t="inlineStr">
        <is>
          <t>Vendor 10</t>
        </is>
      </c>
      <c r="Y2" s="7" t="inlineStr">
        <is>
          <t>NOTES  ·  JUSTIFICATION  ·  CLAIM vs EVIDENCE</t>
        </is>
      </c>
      <c r="Z2" s="6" t="inlineStr">
        <is>
          <t>Vendor 11</t>
        </is>
      </c>
      <c r="AA2" s="7" t="inlineStr">
        <is>
          <t>NOTES  ·  JUSTIFICATION  ·  CLAIM vs EVIDENCE</t>
        </is>
      </c>
      <c r="AB2" s="6" t="inlineStr">
        <is>
          <t>Vendor 12</t>
        </is>
      </c>
      <c r="AC2" s="7" t="inlineStr">
        <is>
          <t>NOTES  ·  JUSTIFICATION  ·  CLAIM vs EVIDENCE</t>
        </is>
      </c>
      <c r="AD2" s="6" t="inlineStr">
        <is>
          <t>Vendor 13</t>
        </is>
      </c>
      <c r="AE2" s="7" t="inlineStr">
        <is>
          <t>NOTES  ·  JUSTIFICATION  ·  CLAIM vs EVIDENCE</t>
        </is>
      </c>
      <c r="AF2" s="6" t="inlineStr">
        <is>
          <t>Vendor 14</t>
        </is>
      </c>
      <c r="AG2" s="7" t="inlineStr">
        <is>
          <t>NOTES  ·  JUSTIFICATION  ·  CLAIM vs EVIDENCE</t>
        </is>
      </c>
      <c r="AH2" s="6" t="inlineStr">
        <is>
          <t>Vendor 15</t>
        </is>
      </c>
      <c r="AI2" s="7" t="inlineStr">
        <is>
          <t>NOTES  ·  JUSTIFICATION  ·  CLAIM vs EVIDENCE</t>
        </is>
      </c>
      <c r="AJ2" s="6" t="inlineStr">
        <is>
          <t>Vendor 16</t>
        </is>
      </c>
      <c r="AK2" s="7" t="inlineStr">
        <is>
          <t>NOTES  ·  JUSTIFICATION  ·  CLAIM vs EVIDENCE</t>
        </is>
      </c>
    </row>
    <row r="3" ht="22" customHeight="1">
      <c r="C3" s="8" t="inlineStr">
        <is>
          <t>TOTAL</t>
        </is>
      </c>
      <c r="D3" s="9" t="inlineStr">
        <is>
          <t>weighted, of 100</t>
        </is>
      </c>
      <c r="F3" s="10">
        <f>IF(F17="","",F8*'Start Here'!$C$10+F9*'Start Here'!$C$11+F10*'Start Here'!$C$12+F11*'Start Here'!$C$13+F12*'Start Here'!$C$14+F13*'Start Here'!$C$15+F14*'Start Here'!$C$16)</f>
        <v/>
      </c>
      <c r="G3" s="11" t="n"/>
      <c r="H3" s="10">
        <f>IF(H17="","",H8*'Start Here'!$C$10+H9*'Start Here'!$C$11+H10*'Start Here'!$C$12+H11*'Start Here'!$C$13+H12*'Start Here'!$C$14+H13*'Start Here'!$C$15+H14*'Start Here'!$C$16)</f>
        <v/>
      </c>
      <c r="I3" s="11" t="n"/>
      <c r="J3" s="10">
        <f>IF(J17="","",J8*'Start Here'!$C$10+J9*'Start Here'!$C$11+J10*'Start Here'!$C$12+J11*'Start Here'!$C$13+J12*'Start Here'!$C$14+J13*'Start Here'!$C$15+J14*'Start Here'!$C$16)</f>
        <v/>
      </c>
      <c r="K3" s="11" t="n"/>
      <c r="L3" s="10">
        <f>IF(L17="","",L8*'Start Here'!$C$10+L9*'Start Here'!$C$11+L10*'Start Here'!$C$12+L11*'Start Here'!$C$13+L12*'Start Here'!$C$14+L13*'Start Here'!$C$15+L14*'Start Here'!$C$16)</f>
        <v/>
      </c>
      <c r="M3" s="11" t="n"/>
      <c r="N3" s="10">
        <f>IF(N17="","",N8*'Start Here'!$C$10+N9*'Start Here'!$C$11+N10*'Start Here'!$C$12+N11*'Start Here'!$C$13+N12*'Start Here'!$C$14+N13*'Start Here'!$C$15+N14*'Start Here'!$C$16)</f>
        <v/>
      </c>
      <c r="O3" s="11" t="n"/>
      <c r="P3" s="10">
        <f>IF(P17="","",P8*'Start Here'!$C$10+P9*'Start Here'!$C$11+P10*'Start Here'!$C$12+P11*'Start Here'!$C$13+P12*'Start Here'!$C$14+P13*'Start Here'!$C$15+P14*'Start Here'!$C$16)</f>
        <v/>
      </c>
      <c r="Q3" s="11" t="n"/>
      <c r="R3" s="10">
        <f>IF(R17="","",R8*'Start Here'!$C$10+R9*'Start Here'!$C$11+R10*'Start Here'!$C$12+R11*'Start Here'!$C$13+R12*'Start Here'!$C$14+R13*'Start Here'!$C$15+R14*'Start Here'!$C$16)</f>
        <v/>
      </c>
      <c r="S3" s="11" t="n"/>
      <c r="T3" s="10">
        <f>IF(T17="","",T8*'Start Here'!$C$10+T9*'Start Here'!$C$11+T10*'Start Here'!$C$12+T11*'Start Here'!$C$13+T12*'Start Here'!$C$14+T13*'Start Here'!$C$15+T14*'Start Here'!$C$16)</f>
        <v/>
      </c>
      <c r="U3" s="11" t="n"/>
      <c r="V3" s="10">
        <f>IF(V17="","",V8*'Start Here'!$C$10+V9*'Start Here'!$C$11+V10*'Start Here'!$C$12+V11*'Start Here'!$C$13+V12*'Start Here'!$C$14+V13*'Start Here'!$C$15+V14*'Start Here'!$C$16)</f>
        <v/>
      </c>
      <c r="W3" s="11" t="n"/>
      <c r="X3" s="10">
        <f>IF(X17="","",X8*'Start Here'!$C$10+X9*'Start Here'!$C$11+X10*'Start Here'!$C$12+X11*'Start Here'!$C$13+X12*'Start Here'!$C$14+X13*'Start Here'!$C$15+X14*'Start Here'!$C$16)</f>
        <v/>
      </c>
      <c r="Y3" s="11" t="n"/>
      <c r="Z3" s="10">
        <f>IF(Z17="","",Z8*'Start Here'!$C$10+Z9*'Start Here'!$C$11+Z10*'Start Here'!$C$12+Z11*'Start Here'!$C$13+Z12*'Start Here'!$C$14+Z13*'Start Here'!$C$15+Z14*'Start Here'!$C$16)</f>
        <v/>
      </c>
      <c r="AA3" s="11" t="n"/>
      <c r="AB3" s="10">
        <f>IF(AB17="","",AB8*'Start Here'!$C$10+AB9*'Start Here'!$C$11+AB10*'Start Here'!$C$12+AB11*'Start Here'!$C$13+AB12*'Start Here'!$C$14+AB13*'Start Here'!$C$15+AB14*'Start Here'!$C$16)</f>
        <v/>
      </c>
      <c r="AC3" s="11" t="n"/>
      <c r="AD3" s="10">
        <f>IF(AD17="","",AD8*'Start Here'!$C$10+AD9*'Start Here'!$C$11+AD10*'Start Here'!$C$12+AD11*'Start Here'!$C$13+AD12*'Start Here'!$C$14+AD13*'Start Here'!$C$15+AD14*'Start Here'!$C$16)</f>
        <v/>
      </c>
      <c r="AE3" s="11" t="n"/>
      <c r="AF3" s="10">
        <f>IF(AF17="","",AF8*'Start Here'!$C$10+AF9*'Start Here'!$C$11+AF10*'Start Here'!$C$12+AF11*'Start Here'!$C$13+AF12*'Start Here'!$C$14+AF13*'Start Here'!$C$15+AF14*'Start Here'!$C$16)</f>
        <v/>
      </c>
      <c r="AG3" s="11" t="n"/>
      <c r="AH3" s="10">
        <f>IF(AH17="","",AH8*'Start Here'!$C$10+AH9*'Start Here'!$C$11+AH10*'Start Here'!$C$12+AH11*'Start Here'!$C$13+AH12*'Start Here'!$C$14+AH13*'Start Here'!$C$15+AH14*'Start Here'!$C$16)</f>
        <v/>
      </c>
      <c r="AI3" s="11" t="n"/>
      <c r="AJ3" s="10">
        <f>IF(AJ17="","",AJ8*'Start Here'!$C$10+AJ9*'Start Here'!$C$11+AJ10*'Start Here'!$C$12+AJ11*'Start Here'!$C$13+AJ12*'Start Here'!$C$14+AJ13*'Start Here'!$C$15+AJ14*'Start Here'!$C$16)</f>
        <v/>
      </c>
      <c r="AK3" s="11" t="n"/>
    </row>
    <row r="4" ht="16" customHeight="1">
      <c r="C4" s="12" t="inlineStr">
        <is>
          <t>Band</t>
        </is>
      </c>
      <c r="D4" s="9" t="inlineStr">
        <is>
          <t>80 Advance  ·  65 Consider  ·  50 Hold</t>
        </is>
      </c>
      <c r="F4" s="13">
        <f>IF(F17="","",IF(NOT(F8&gt;=0.6),"Conditional — ","")&amp;IF(F3&gt;=80,"Advance",IF(F3&gt;=65,"Consider",IF(F3&gt;=50,"Hold","Decline"))))</f>
        <v/>
      </c>
      <c r="G4" s="11" t="n"/>
      <c r="H4" s="13">
        <f>IF(H17="","",IF(NOT(H8&gt;=0.6),"Conditional — ","")&amp;IF(H3&gt;=80,"Advance",IF(H3&gt;=65,"Consider",IF(H3&gt;=50,"Hold","Decline"))))</f>
        <v/>
      </c>
      <c r="I4" s="11" t="n"/>
      <c r="J4" s="13">
        <f>IF(J17="","",IF(NOT(J8&gt;=0.6),"Conditional — ","")&amp;IF(J3&gt;=80,"Advance",IF(J3&gt;=65,"Consider",IF(J3&gt;=50,"Hold","Decline"))))</f>
        <v/>
      </c>
      <c r="K4" s="11" t="n"/>
      <c r="L4" s="13">
        <f>IF(L17="","",IF(NOT(L8&gt;=0.6),"Conditional — ","")&amp;IF(L3&gt;=80,"Advance",IF(L3&gt;=65,"Consider",IF(L3&gt;=50,"Hold","Decline"))))</f>
        <v/>
      </c>
      <c r="M4" s="11" t="n"/>
      <c r="N4" s="13">
        <f>IF(N17="","",IF(NOT(N8&gt;=0.6),"Conditional — ","")&amp;IF(N3&gt;=80,"Advance",IF(N3&gt;=65,"Consider",IF(N3&gt;=50,"Hold","Decline"))))</f>
        <v/>
      </c>
      <c r="O4" s="11" t="n"/>
      <c r="P4" s="13">
        <f>IF(P17="","",IF(NOT(P8&gt;=0.6),"Conditional — ","")&amp;IF(P3&gt;=80,"Advance",IF(P3&gt;=65,"Consider",IF(P3&gt;=50,"Hold","Decline"))))</f>
        <v/>
      </c>
      <c r="Q4" s="11" t="n"/>
      <c r="R4" s="13">
        <f>IF(R17="","",IF(NOT(R8&gt;=0.6),"Conditional — ","")&amp;IF(R3&gt;=80,"Advance",IF(R3&gt;=65,"Consider",IF(R3&gt;=50,"Hold","Decline"))))</f>
        <v/>
      </c>
      <c r="S4" s="11" t="n"/>
      <c r="T4" s="13">
        <f>IF(T17="","",IF(NOT(T8&gt;=0.6),"Conditional — ","")&amp;IF(T3&gt;=80,"Advance",IF(T3&gt;=65,"Consider",IF(T3&gt;=50,"Hold","Decline"))))</f>
        <v/>
      </c>
      <c r="U4" s="11" t="n"/>
      <c r="V4" s="13">
        <f>IF(V17="","",IF(NOT(V8&gt;=0.6),"Conditional — ","")&amp;IF(V3&gt;=80,"Advance",IF(V3&gt;=65,"Consider",IF(V3&gt;=50,"Hold","Decline"))))</f>
        <v/>
      </c>
      <c r="W4" s="11" t="n"/>
      <c r="X4" s="13">
        <f>IF(X17="","",IF(NOT(X8&gt;=0.6),"Conditional — ","")&amp;IF(X3&gt;=80,"Advance",IF(X3&gt;=65,"Consider",IF(X3&gt;=50,"Hold","Decline"))))</f>
        <v/>
      </c>
      <c r="Y4" s="11" t="n"/>
      <c r="Z4" s="13">
        <f>IF(Z17="","",IF(NOT(Z8&gt;=0.6),"Conditional — ","")&amp;IF(Z3&gt;=80,"Advance",IF(Z3&gt;=65,"Consider",IF(Z3&gt;=50,"Hold","Decline"))))</f>
        <v/>
      </c>
      <c r="AA4" s="11" t="n"/>
      <c r="AB4" s="13">
        <f>IF(AB17="","",IF(NOT(AB8&gt;=0.6),"Conditional — ","")&amp;IF(AB3&gt;=80,"Advance",IF(AB3&gt;=65,"Consider",IF(AB3&gt;=50,"Hold","Decline"))))</f>
        <v/>
      </c>
      <c r="AC4" s="11" t="n"/>
      <c r="AD4" s="13">
        <f>IF(AD17="","",IF(NOT(AD8&gt;=0.6),"Conditional — ","")&amp;IF(AD3&gt;=80,"Advance",IF(AD3&gt;=65,"Consider",IF(AD3&gt;=50,"Hold","Decline"))))</f>
        <v/>
      </c>
      <c r="AE4" s="11" t="n"/>
      <c r="AF4" s="13">
        <f>IF(AF17="","",IF(NOT(AF8&gt;=0.6),"Conditional — ","")&amp;IF(AF3&gt;=80,"Advance",IF(AF3&gt;=65,"Consider",IF(AF3&gt;=50,"Hold","Decline"))))</f>
        <v/>
      </c>
      <c r="AG4" s="11" t="n"/>
      <c r="AH4" s="13">
        <f>IF(AH17="","",IF(NOT(AH8&gt;=0.6),"Conditional — ","")&amp;IF(AH3&gt;=80,"Advance",IF(AH3&gt;=65,"Consider",IF(AH3&gt;=50,"Hold","Decline"))))</f>
        <v/>
      </c>
      <c r="AI4" s="11" t="n"/>
      <c r="AJ4" s="13">
        <f>IF(AJ17="","",IF(NOT(AJ8&gt;=0.6),"Conditional — ","")&amp;IF(AJ3&gt;=80,"Advance",IF(AJ3&gt;=65,"Consider",IF(AJ3&gt;=50,"Hold","Decline"))))</f>
        <v/>
      </c>
      <c r="AK4" s="11" t="n"/>
    </row>
    <row r="5" ht="16" customHeight="1">
      <c r="C5" s="14" t="inlineStr">
        <is>
          <t>Stop-checks</t>
        </is>
      </c>
      <c r="D5" s="9" t="inlineStr">
        <is>
          <t>of three</t>
        </is>
      </c>
      <c r="F5" s="15">
        <f>IF(F17="","",IF(F18="STOP-CHECK",1,0)+IF(F19="STOP-CHECK",1,0)+IF(F37="STOP-CHECK",1,0))</f>
        <v/>
      </c>
      <c r="G5" s="11" t="n"/>
      <c r="H5" s="15">
        <f>IF(H17="","",IF(H18="STOP-CHECK",1,0)+IF(H19="STOP-CHECK",1,0)+IF(H37="STOP-CHECK",1,0))</f>
        <v/>
      </c>
      <c r="I5" s="11" t="n"/>
      <c r="J5" s="15">
        <f>IF(J17="","",IF(J18="STOP-CHECK",1,0)+IF(J19="STOP-CHECK",1,0)+IF(J37="STOP-CHECK",1,0))</f>
        <v/>
      </c>
      <c r="K5" s="11" t="n"/>
      <c r="L5" s="15">
        <f>IF(L17="","",IF(L18="STOP-CHECK",1,0)+IF(L19="STOP-CHECK",1,0)+IF(L37="STOP-CHECK",1,0))</f>
        <v/>
      </c>
      <c r="M5" s="11" t="n"/>
      <c r="N5" s="15">
        <f>IF(N17="","",IF(N18="STOP-CHECK",1,0)+IF(N19="STOP-CHECK",1,0)+IF(N37="STOP-CHECK",1,0))</f>
        <v/>
      </c>
      <c r="O5" s="11" t="n"/>
      <c r="P5" s="15">
        <f>IF(P17="","",IF(P18="STOP-CHECK",1,0)+IF(P19="STOP-CHECK",1,0)+IF(P37="STOP-CHECK",1,0))</f>
        <v/>
      </c>
      <c r="Q5" s="11" t="n"/>
      <c r="R5" s="15">
        <f>IF(R17="","",IF(R18="STOP-CHECK",1,0)+IF(R19="STOP-CHECK",1,0)+IF(R37="STOP-CHECK",1,0))</f>
        <v/>
      </c>
      <c r="S5" s="11" t="n"/>
      <c r="T5" s="15">
        <f>IF(T17="","",IF(T18="STOP-CHECK",1,0)+IF(T19="STOP-CHECK",1,0)+IF(T37="STOP-CHECK",1,0))</f>
        <v/>
      </c>
      <c r="U5" s="11" t="n"/>
      <c r="V5" s="15">
        <f>IF(V17="","",IF(V18="STOP-CHECK",1,0)+IF(V19="STOP-CHECK",1,0)+IF(V37="STOP-CHECK",1,0))</f>
        <v/>
      </c>
      <c r="W5" s="11" t="n"/>
      <c r="X5" s="15">
        <f>IF(X17="","",IF(X18="STOP-CHECK",1,0)+IF(X19="STOP-CHECK",1,0)+IF(X37="STOP-CHECK",1,0))</f>
        <v/>
      </c>
      <c r="Y5" s="11" t="n"/>
      <c r="Z5" s="15">
        <f>IF(Z17="","",IF(Z18="STOP-CHECK",1,0)+IF(Z19="STOP-CHECK",1,0)+IF(Z37="STOP-CHECK",1,0))</f>
        <v/>
      </c>
      <c r="AA5" s="11" t="n"/>
      <c r="AB5" s="15">
        <f>IF(AB17="","",IF(AB18="STOP-CHECK",1,0)+IF(AB19="STOP-CHECK",1,0)+IF(AB37="STOP-CHECK",1,0))</f>
        <v/>
      </c>
      <c r="AC5" s="11" t="n"/>
      <c r="AD5" s="15">
        <f>IF(AD17="","",IF(AD18="STOP-CHECK",1,0)+IF(AD19="STOP-CHECK",1,0)+IF(AD37="STOP-CHECK",1,0))</f>
        <v/>
      </c>
      <c r="AE5" s="11" t="n"/>
      <c r="AF5" s="15">
        <f>IF(AF17="","",IF(AF18="STOP-CHECK",1,0)+IF(AF19="STOP-CHECK",1,0)+IF(AF37="STOP-CHECK",1,0))</f>
        <v/>
      </c>
      <c r="AG5" s="11" t="n"/>
      <c r="AH5" s="15">
        <f>IF(AH17="","",IF(AH18="STOP-CHECK",1,0)+IF(AH19="STOP-CHECK",1,0)+IF(AH37="STOP-CHECK",1,0))</f>
        <v/>
      </c>
      <c r="AI5" s="11" t="n"/>
      <c r="AJ5" s="15">
        <f>IF(AJ17="","",IF(AJ18="STOP-CHECK",1,0)+IF(AJ19="STOP-CHECK",1,0)+IF(AJ37="STOP-CHECK",1,0))</f>
        <v/>
      </c>
      <c r="AK5" s="11" t="n"/>
    </row>
    <row r="6" ht="8" customHeight="1"/>
    <row r="7" ht="18" customHeight="1">
      <c r="B7" s="16" t="inlineStr">
        <is>
          <t>SECTION GRADES   —   each on its own scale, unweighted</t>
        </is>
      </c>
    </row>
    <row r="8" ht="17" customHeight="1">
      <c r="C8" s="17" t="inlineStr">
        <is>
          <t>Home Care Home Base</t>
        </is>
      </c>
      <c r="F8" s="18">
        <f>IF(F17="","",(IFERROR(VLOOKUP(F17,Lists!$B$2:$C$7,2,FALSE),0))/20)</f>
        <v/>
      </c>
      <c r="G8" s="11" t="n"/>
      <c r="H8" s="18">
        <f>IF(H17="","",(IFERROR(VLOOKUP(H17,Lists!$B$2:$C$7,2,FALSE),0))/20)</f>
        <v/>
      </c>
      <c r="I8" s="11" t="n"/>
      <c r="J8" s="18">
        <f>IF(J17="","",(IFERROR(VLOOKUP(J17,Lists!$B$2:$C$7,2,FALSE),0))/20)</f>
        <v/>
      </c>
      <c r="K8" s="11" t="n"/>
      <c r="L8" s="18">
        <f>IF(L17="","",(IFERROR(VLOOKUP(L17,Lists!$B$2:$C$7,2,FALSE),0))/20)</f>
        <v/>
      </c>
      <c r="M8" s="11" t="n"/>
      <c r="N8" s="18">
        <f>IF(N17="","",(IFERROR(VLOOKUP(N17,Lists!$B$2:$C$7,2,FALSE),0))/20)</f>
        <v/>
      </c>
      <c r="O8" s="11" t="n"/>
      <c r="P8" s="18">
        <f>IF(P17="","",(IFERROR(VLOOKUP(P17,Lists!$B$2:$C$7,2,FALSE),0))/20)</f>
        <v/>
      </c>
      <c r="Q8" s="11" t="n"/>
      <c r="R8" s="18">
        <f>IF(R17="","",(IFERROR(VLOOKUP(R17,Lists!$B$2:$C$7,2,FALSE),0))/20)</f>
        <v/>
      </c>
      <c r="S8" s="11" t="n"/>
      <c r="T8" s="18">
        <f>IF(T17="","",(IFERROR(VLOOKUP(T17,Lists!$B$2:$C$7,2,FALSE),0))/20)</f>
        <v/>
      </c>
      <c r="U8" s="11" t="n"/>
      <c r="V8" s="18">
        <f>IF(V17="","",(IFERROR(VLOOKUP(V17,Lists!$B$2:$C$7,2,FALSE),0))/20)</f>
        <v/>
      </c>
      <c r="W8" s="11" t="n"/>
      <c r="X8" s="18">
        <f>IF(X17="","",(IFERROR(VLOOKUP(X17,Lists!$B$2:$C$7,2,FALSE),0))/20)</f>
        <v/>
      </c>
      <c r="Y8" s="11" t="n"/>
      <c r="Z8" s="18">
        <f>IF(Z17="","",(IFERROR(VLOOKUP(Z17,Lists!$B$2:$C$7,2,FALSE),0))/20)</f>
        <v/>
      </c>
      <c r="AA8" s="11" t="n"/>
      <c r="AB8" s="18">
        <f>IF(AB17="","",(IFERROR(VLOOKUP(AB17,Lists!$B$2:$C$7,2,FALSE),0))/20)</f>
        <v/>
      </c>
      <c r="AC8" s="11" t="n"/>
      <c r="AD8" s="18">
        <f>IF(AD17="","",(IFERROR(VLOOKUP(AD17,Lists!$B$2:$C$7,2,FALSE),0))/20)</f>
        <v/>
      </c>
      <c r="AE8" s="11" t="n"/>
      <c r="AF8" s="18">
        <f>IF(AF17="","",(IFERROR(VLOOKUP(AF17,Lists!$B$2:$C$7,2,FALSE),0))/20)</f>
        <v/>
      </c>
      <c r="AG8" s="11" t="n"/>
      <c r="AH8" s="18">
        <f>IF(AH17="","",(IFERROR(VLOOKUP(AH17,Lists!$B$2:$C$7,2,FALSE),0))/20)</f>
        <v/>
      </c>
      <c r="AI8" s="11" t="n"/>
      <c r="AJ8" s="18">
        <f>IF(AJ17="","",(IFERROR(VLOOKUP(AJ17,Lists!$B$2:$C$7,2,FALSE),0))/20)</f>
        <v/>
      </c>
      <c r="AK8" s="11" t="n"/>
    </row>
    <row r="9" ht="17" customHeight="1">
      <c r="C9" s="19" t="inlineStr">
        <is>
          <t>Capacity</t>
        </is>
      </c>
      <c r="F9" s="18">
        <f>IF(F17="","",(IFERROR(VALUE(LEFT(F23,1)),0)+IFERROR(VALUE(LEFT(F24,1)),0)+IFERROR(VALUE(LEFT(F25,1)),0))/12)</f>
        <v/>
      </c>
      <c r="G9" s="11" t="n"/>
      <c r="H9" s="18">
        <f>IF(H17="","",(IFERROR(VALUE(LEFT(H23,1)),0)+IFERROR(VALUE(LEFT(H24,1)),0)+IFERROR(VALUE(LEFT(H25,1)),0))/12)</f>
        <v/>
      </c>
      <c r="I9" s="11" t="n"/>
      <c r="J9" s="18">
        <f>IF(J17="","",(IFERROR(VALUE(LEFT(J23,1)),0)+IFERROR(VALUE(LEFT(J24,1)),0)+IFERROR(VALUE(LEFT(J25,1)),0))/12)</f>
        <v/>
      </c>
      <c r="K9" s="11" t="n"/>
      <c r="L9" s="18">
        <f>IF(L17="","",(IFERROR(VALUE(LEFT(L23,1)),0)+IFERROR(VALUE(LEFT(L24,1)),0)+IFERROR(VALUE(LEFT(L25,1)),0))/12)</f>
        <v/>
      </c>
      <c r="M9" s="11" t="n"/>
      <c r="N9" s="18">
        <f>IF(N17="","",(IFERROR(VALUE(LEFT(N23,1)),0)+IFERROR(VALUE(LEFT(N24,1)),0)+IFERROR(VALUE(LEFT(N25,1)),0))/12)</f>
        <v/>
      </c>
      <c r="O9" s="11" t="n"/>
      <c r="P9" s="18">
        <f>IF(P17="","",(IFERROR(VALUE(LEFT(P23,1)),0)+IFERROR(VALUE(LEFT(P24,1)),0)+IFERROR(VALUE(LEFT(P25,1)),0))/12)</f>
        <v/>
      </c>
      <c r="Q9" s="11" t="n"/>
      <c r="R9" s="18">
        <f>IF(R17="","",(IFERROR(VALUE(LEFT(R23,1)),0)+IFERROR(VALUE(LEFT(R24,1)),0)+IFERROR(VALUE(LEFT(R25,1)),0))/12)</f>
        <v/>
      </c>
      <c r="S9" s="11" t="n"/>
      <c r="T9" s="18">
        <f>IF(T17="","",(IFERROR(VALUE(LEFT(T23,1)),0)+IFERROR(VALUE(LEFT(T24,1)),0)+IFERROR(VALUE(LEFT(T25,1)),0))/12)</f>
        <v/>
      </c>
      <c r="U9" s="11" t="n"/>
      <c r="V9" s="18">
        <f>IF(V17="","",(IFERROR(VALUE(LEFT(V23,1)),0)+IFERROR(VALUE(LEFT(V24,1)),0)+IFERROR(VALUE(LEFT(V25,1)),0))/12)</f>
        <v/>
      </c>
      <c r="W9" s="11" t="n"/>
      <c r="X9" s="18">
        <f>IF(X17="","",(IFERROR(VALUE(LEFT(X23,1)),0)+IFERROR(VALUE(LEFT(X24,1)),0)+IFERROR(VALUE(LEFT(X25,1)),0))/12)</f>
        <v/>
      </c>
      <c r="Y9" s="11" t="n"/>
      <c r="Z9" s="18">
        <f>IF(Z17="","",(IFERROR(VALUE(LEFT(Z23,1)),0)+IFERROR(VALUE(LEFT(Z24,1)),0)+IFERROR(VALUE(LEFT(Z25,1)),0))/12)</f>
        <v/>
      </c>
      <c r="AA9" s="11" t="n"/>
      <c r="AB9" s="18">
        <f>IF(AB17="","",(IFERROR(VALUE(LEFT(AB23,1)),0)+IFERROR(VALUE(LEFT(AB24,1)),0)+IFERROR(VALUE(LEFT(AB25,1)),0))/12)</f>
        <v/>
      </c>
      <c r="AC9" s="11" t="n"/>
      <c r="AD9" s="18">
        <f>IF(AD17="","",(IFERROR(VALUE(LEFT(AD23,1)),0)+IFERROR(VALUE(LEFT(AD24,1)),0)+IFERROR(VALUE(LEFT(AD25,1)),0))/12)</f>
        <v/>
      </c>
      <c r="AE9" s="11" t="n"/>
      <c r="AF9" s="18">
        <f>IF(AF17="","",(IFERROR(VALUE(LEFT(AF23,1)),0)+IFERROR(VALUE(LEFT(AF24,1)),0)+IFERROR(VALUE(LEFT(AF25,1)),0))/12)</f>
        <v/>
      </c>
      <c r="AG9" s="11" t="n"/>
      <c r="AH9" s="18">
        <f>IF(AH17="","",(IFERROR(VALUE(LEFT(AH23,1)),0)+IFERROR(VALUE(LEFT(AH24,1)),0)+IFERROR(VALUE(LEFT(AH25,1)),0))/12)</f>
        <v/>
      </c>
      <c r="AI9" s="11" t="n"/>
      <c r="AJ9" s="18">
        <f>IF(AJ17="","",(IFERROR(VALUE(LEFT(AJ23,1)),0)+IFERROR(VALUE(LEFT(AJ24,1)),0)+IFERROR(VALUE(LEFT(AJ25,1)),0))/12)</f>
        <v/>
      </c>
      <c r="AK9" s="11" t="n"/>
    </row>
    <row r="10" ht="17" customHeight="1">
      <c r="C10" s="20" t="inlineStr">
        <is>
          <t>Scheduling</t>
        </is>
      </c>
      <c r="F10" s="18">
        <f>IF(F17="","",(IFERROR(VALUE(LEFT(F27,1)),0)+IFERROR(VALUE(LEFT(F28,1)),0)+IFERROR(VALUE(LEFT(F29,1)),0))/12)</f>
        <v/>
      </c>
      <c r="G10" s="11" t="n"/>
      <c r="H10" s="18">
        <f>IF(H17="","",(IFERROR(VALUE(LEFT(H27,1)),0)+IFERROR(VALUE(LEFT(H28,1)),0)+IFERROR(VALUE(LEFT(H29,1)),0))/12)</f>
        <v/>
      </c>
      <c r="I10" s="11" t="n"/>
      <c r="J10" s="18">
        <f>IF(J17="","",(IFERROR(VALUE(LEFT(J27,1)),0)+IFERROR(VALUE(LEFT(J28,1)),0)+IFERROR(VALUE(LEFT(J29,1)),0))/12)</f>
        <v/>
      </c>
      <c r="K10" s="11" t="n"/>
      <c r="L10" s="18">
        <f>IF(L17="","",(IFERROR(VALUE(LEFT(L27,1)),0)+IFERROR(VALUE(LEFT(L28,1)),0)+IFERROR(VALUE(LEFT(L29,1)),0))/12)</f>
        <v/>
      </c>
      <c r="M10" s="11" t="n"/>
      <c r="N10" s="18">
        <f>IF(N17="","",(IFERROR(VALUE(LEFT(N27,1)),0)+IFERROR(VALUE(LEFT(N28,1)),0)+IFERROR(VALUE(LEFT(N29,1)),0))/12)</f>
        <v/>
      </c>
      <c r="O10" s="11" t="n"/>
      <c r="P10" s="18">
        <f>IF(P17="","",(IFERROR(VALUE(LEFT(P27,1)),0)+IFERROR(VALUE(LEFT(P28,1)),0)+IFERROR(VALUE(LEFT(P29,1)),0))/12)</f>
        <v/>
      </c>
      <c r="Q10" s="11" t="n"/>
      <c r="R10" s="18">
        <f>IF(R17="","",(IFERROR(VALUE(LEFT(R27,1)),0)+IFERROR(VALUE(LEFT(R28,1)),0)+IFERROR(VALUE(LEFT(R29,1)),0))/12)</f>
        <v/>
      </c>
      <c r="S10" s="11" t="n"/>
      <c r="T10" s="18">
        <f>IF(T17="","",(IFERROR(VALUE(LEFT(T27,1)),0)+IFERROR(VALUE(LEFT(T28,1)),0)+IFERROR(VALUE(LEFT(T29,1)),0))/12)</f>
        <v/>
      </c>
      <c r="U10" s="11" t="n"/>
      <c r="V10" s="18">
        <f>IF(V17="","",(IFERROR(VALUE(LEFT(V27,1)),0)+IFERROR(VALUE(LEFT(V28,1)),0)+IFERROR(VALUE(LEFT(V29,1)),0))/12)</f>
        <v/>
      </c>
      <c r="W10" s="11" t="n"/>
      <c r="X10" s="18">
        <f>IF(X17="","",(IFERROR(VALUE(LEFT(X27,1)),0)+IFERROR(VALUE(LEFT(X28,1)),0)+IFERROR(VALUE(LEFT(X29,1)),0))/12)</f>
        <v/>
      </c>
      <c r="Y10" s="11" t="n"/>
      <c r="Z10" s="18">
        <f>IF(Z17="","",(IFERROR(VALUE(LEFT(Z27,1)),0)+IFERROR(VALUE(LEFT(Z28,1)),0)+IFERROR(VALUE(LEFT(Z29,1)),0))/12)</f>
        <v/>
      </c>
      <c r="AA10" s="11" t="n"/>
      <c r="AB10" s="18">
        <f>IF(AB17="","",(IFERROR(VALUE(LEFT(AB27,1)),0)+IFERROR(VALUE(LEFT(AB28,1)),0)+IFERROR(VALUE(LEFT(AB29,1)),0))/12)</f>
        <v/>
      </c>
      <c r="AC10" s="11" t="n"/>
      <c r="AD10" s="18">
        <f>IF(AD17="","",(IFERROR(VALUE(LEFT(AD27,1)),0)+IFERROR(VALUE(LEFT(AD28,1)),0)+IFERROR(VALUE(LEFT(AD29,1)),0))/12)</f>
        <v/>
      </c>
      <c r="AE10" s="11" t="n"/>
      <c r="AF10" s="18">
        <f>IF(AF17="","",(IFERROR(VALUE(LEFT(AF27,1)),0)+IFERROR(VALUE(LEFT(AF28,1)),0)+IFERROR(VALUE(LEFT(AF29,1)),0))/12)</f>
        <v/>
      </c>
      <c r="AG10" s="11" t="n"/>
      <c r="AH10" s="18">
        <f>IF(AH17="","",(IFERROR(VALUE(LEFT(AH27,1)),0)+IFERROR(VALUE(LEFT(AH28,1)),0)+IFERROR(VALUE(LEFT(AH29,1)),0))/12)</f>
        <v/>
      </c>
      <c r="AI10" s="11" t="n"/>
      <c r="AJ10" s="18">
        <f>IF(AJ17="","",(IFERROR(VALUE(LEFT(AJ27,1)),0)+IFERROR(VALUE(LEFT(AJ28,1)),0)+IFERROR(VALUE(LEFT(AJ29,1)),0))/12)</f>
        <v/>
      </c>
      <c r="AK10" s="11" t="n"/>
    </row>
    <row r="11" ht="17" customHeight="1">
      <c r="C11" s="21" t="inlineStr">
        <is>
          <t>Engagement</t>
        </is>
      </c>
      <c r="F11" s="18">
        <f>IF(F17="","",(IFERROR(VALUE(LEFT(F31,1)),0)+IFERROR(VALUE(LEFT(F32,1)),0)+IFERROR(VALUE(LEFT(F33,1)),0))/12)</f>
        <v/>
      </c>
      <c r="G11" s="11" t="n"/>
      <c r="H11" s="18">
        <f>IF(H17="","",(IFERROR(VALUE(LEFT(H31,1)),0)+IFERROR(VALUE(LEFT(H32,1)),0)+IFERROR(VALUE(LEFT(H33,1)),0))/12)</f>
        <v/>
      </c>
      <c r="I11" s="11" t="n"/>
      <c r="J11" s="18">
        <f>IF(J17="","",(IFERROR(VALUE(LEFT(J31,1)),0)+IFERROR(VALUE(LEFT(J32,1)),0)+IFERROR(VALUE(LEFT(J33,1)),0))/12)</f>
        <v/>
      </c>
      <c r="K11" s="11" t="n"/>
      <c r="L11" s="18">
        <f>IF(L17="","",(IFERROR(VALUE(LEFT(L31,1)),0)+IFERROR(VALUE(LEFT(L32,1)),0)+IFERROR(VALUE(LEFT(L33,1)),0))/12)</f>
        <v/>
      </c>
      <c r="M11" s="11" t="n"/>
      <c r="N11" s="18">
        <f>IF(N17="","",(IFERROR(VALUE(LEFT(N31,1)),0)+IFERROR(VALUE(LEFT(N32,1)),0)+IFERROR(VALUE(LEFT(N33,1)),0))/12)</f>
        <v/>
      </c>
      <c r="O11" s="11" t="n"/>
      <c r="P11" s="18">
        <f>IF(P17="","",(IFERROR(VALUE(LEFT(P31,1)),0)+IFERROR(VALUE(LEFT(P32,1)),0)+IFERROR(VALUE(LEFT(P33,1)),0))/12)</f>
        <v/>
      </c>
      <c r="Q11" s="11" t="n"/>
      <c r="R11" s="18">
        <f>IF(R17="","",(IFERROR(VALUE(LEFT(R31,1)),0)+IFERROR(VALUE(LEFT(R32,1)),0)+IFERROR(VALUE(LEFT(R33,1)),0))/12)</f>
        <v/>
      </c>
      <c r="S11" s="11" t="n"/>
      <c r="T11" s="18">
        <f>IF(T17="","",(IFERROR(VALUE(LEFT(T31,1)),0)+IFERROR(VALUE(LEFT(T32,1)),0)+IFERROR(VALUE(LEFT(T33,1)),0))/12)</f>
        <v/>
      </c>
      <c r="U11" s="11" t="n"/>
      <c r="V11" s="18">
        <f>IF(V17="","",(IFERROR(VALUE(LEFT(V31,1)),0)+IFERROR(VALUE(LEFT(V32,1)),0)+IFERROR(VALUE(LEFT(V33,1)),0))/12)</f>
        <v/>
      </c>
      <c r="W11" s="11" t="n"/>
      <c r="X11" s="18">
        <f>IF(X17="","",(IFERROR(VALUE(LEFT(X31,1)),0)+IFERROR(VALUE(LEFT(X32,1)),0)+IFERROR(VALUE(LEFT(X33,1)),0))/12)</f>
        <v/>
      </c>
      <c r="Y11" s="11" t="n"/>
      <c r="Z11" s="18">
        <f>IF(Z17="","",(IFERROR(VALUE(LEFT(Z31,1)),0)+IFERROR(VALUE(LEFT(Z32,1)),0)+IFERROR(VALUE(LEFT(Z33,1)),0))/12)</f>
        <v/>
      </c>
      <c r="AA11" s="11" t="n"/>
      <c r="AB11" s="18">
        <f>IF(AB17="","",(IFERROR(VALUE(LEFT(AB31,1)),0)+IFERROR(VALUE(LEFT(AB32,1)),0)+IFERROR(VALUE(LEFT(AB33,1)),0))/12)</f>
        <v/>
      </c>
      <c r="AC11" s="11" t="n"/>
      <c r="AD11" s="18">
        <f>IF(AD17="","",(IFERROR(VALUE(LEFT(AD31,1)),0)+IFERROR(VALUE(LEFT(AD32,1)),0)+IFERROR(VALUE(LEFT(AD33,1)),0))/12)</f>
        <v/>
      </c>
      <c r="AE11" s="11" t="n"/>
      <c r="AF11" s="18">
        <f>IF(AF17="","",(IFERROR(VALUE(LEFT(AF31,1)),0)+IFERROR(VALUE(LEFT(AF32,1)),0)+IFERROR(VALUE(LEFT(AF33,1)),0))/12)</f>
        <v/>
      </c>
      <c r="AG11" s="11" t="n"/>
      <c r="AH11" s="18">
        <f>IF(AH17="","",(IFERROR(VALUE(LEFT(AH31,1)),0)+IFERROR(VALUE(LEFT(AH32,1)),0)+IFERROR(VALUE(LEFT(AH33,1)),0))/12)</f>
        <v/>
      </c>
      <c r="AI11" s="11" t="n"/>
      <c r="AJ11" s="18">
        <f>IF(AJ17="","",(IFERROR(VALUE(LEFT(AJ31,1)),0)+IFERROR(VALUE(LEFT(AJ32,1)),0)+IFERROR(VALUE(LEFT(AJ33,1)),0))/12)</f>
        <v/>
      </c>
      <c r="AK11" s="11" t="n"/>
    </row>
    <row r="12" ht="17" customHeight="1">
      <c r="C12" s="22" t="inlineStr">
        <is>
          <t>Sophistication</t>
        </is>
      </c>
      <c r="F12" s="23">
        <f>IF(F17="","",(IFERROR(VALUE(LEFT(F36,1)),0))/4)</f>
        <v/>
      </c>
      <c r="G12" s="11" t="n"/>
      <c r="H12" s="23">
        <f>IF(H17="","",(IFERROR(VALUE(LEFT(H36,1)),0))/4)</f>
        <v/>
      </c>
      <c r="I12" s="11" t="n"/>
      <c r="J12" s="23">
        <f>IF(J17="","",(IFERROR(VALUE(LEFT(J36,1)),0))/4)</f>
        <v/>
      </c>
      <c r="K12" s="11" t="n"/>
      <c r="L12" s="23">
        <f>IF(L17="","",(IFERROR(VALUE(LEFT(L36,1)),0))/4)</f>
        <v/>
      </c>
      <c r="M12" s="11" t="n"/>
      <c r="N12" s="23">
        <f>IF(N17="","",(IFERROR(VALUE(LEFT(N36,1)),0))/4)</f>
        <v/>
      </c>
      <c r="O12" s="11" t="n"/>
      <c r="P12" s="23">
        <f>IF(P17="","",(IFERROR(VALUE(LEFT(P36,1)),0))/4)</f>
        <v/>
      </c>
      <c r="Q12" s="11" t="n"/>
      <c r="R12" s="23">
        <f>IF(R17="","",(IFERROR(VALUE(LEFT(R36,1)),0))/4)</f>
        <v/>
      </c>
      <c r="S12" s="11" t="n"/>
      <c r="T12" s="23">
        <f>IF(T17="","",(IFERROR(VALUE(LEFT(T36,1)),0))/4)</f>
        <v/>
      </c>
      <c r="U12" s="11" t="n"/>
      <c r="V12" s="23">
        <f>IF(V17="","",(IFERROR(VALUE(LEFT(V36,1)),0))/4)</f>
        <v/>
      </c>
      <c r="W12" s="11" t="n"/>
      <c r="X12" s="23">
        <f>IF(X17="","",(IFERROR(VALUE(LEFT(X36,1)),0))/4)</f>
        <v/>
      </c>
      <c r="Y12" s="11" t="n"/>
      <c r="Z12" s="23">
        <f>IF(Z17="","",(IFERROR(VALUE(LEFT(Z36,1)),0))/4)</f>
        <v/>
      </c>
      <c r="AA12" s="11" t="n"/>
      <c r="AB12" s="23">
        <f>IF(AB17="","",(IFERROR(VALUE(LEFT(AB36,1)),0))/4)</f>
        <v/>
      </c>
      <c r="AC12" s="11" t="n"/>
      <c r="AD12" s="23">
        <f>IF(AD17="","",(IFERROR(VALUE(LEFT(AD36,1)),0))/4)</f>
        <v/>
      </c>
      <c r="AE12" s="11" t="n"/>
      <c r="AF12" s="23">
        <f>IF(AF17="","",(IFERROR(VALUE(LEFT(AF36,1)),0))/4)</f>
        <v/>
      </c>
      <c r="AG12" s="11" t="n"/>
      <c r="AH12" s="23">
        <f>IF(AH17="","",(IFERROR(VALUE(LEFT(AH36,1)),0))/4)</f>
        <v/>
      </c>
      <c r="AI12" s="11" t="n"/>
      <c r="AJ12" s="23">
        <f>IF(AJ17="","",(IFERROR(VALUE(LEFT(AJ36,1)),0))/4)</f>
        <v/>
      </c>
      <c r="AK12" s="11" t="n"/>
    </row>
    <row r="13" ht="17" customHeight="1">
      <c r="C13" s="24" t="inlineStr">
        <is>
          <t>Clinician fit</t>
        </is>
      </c>
      <c r="F13" s="23">
        <f>IF(F17="","",(IFERROR(VALUE(LEFT(F40,1)),0))/4)</f>
        <v/>
      </c>
      <c r="G13" s="11" t="n"/>
      <c r="H13" s="23">
        <f>IF(H17="","",(IFERROR(VALUE(LEFT(H40,1)),0))/4)</f>
        <v/>
      </c>
      <c r="I13" s="11" t="n"/>
      <c r="J13" s="23">
        <f>IF(J17="","",(IFERROR(VALUE(LEFT(J40,1)),0))/4)</f>
        <v/>
      </c>
      <c r="K13" s="11" t="n"/>
      <c r="L13" s="23">
        <f>IF(L17="","",(IFERROR(VALUE(LEFT(L40,1)),0))/4)</f>
        <v/>
      </c>
      <c r="M13" s="11" t="n"/>
      <c r="N13" s="23">
        <f>IF(N17="","",(IFERROR(VALUE(LEFT(N40,1)),0))/4)</f>
        <v/>
      </c>
      <c r="O13" s="11" t="n"/>
      <c r="P13" s="23">
        <f>IF(P17="","",(IFERROR(VALUE(LEFT(P40,1)),0))/4)</f>
        <v/>
      </c>
      <c r="Q13" s="11" t="n"/>
      <c r="R13" s="23">
        <f>IF(R17="","",(IFERROR(VALUE(LEFT(R40,1)),0))/4)</f>
        <v/>
      </c>
      <c r="S13" s="11" t="n"/>
      <c r="T13" s="23">
        <f>IF(T17="","",(IFERROR(VALUE(LEFT(T40,1)),0))/4)</f>
        <v/>
      </c>
      <c r="U13" s="11" t="n"/>
      <c r="V13" s="23">
        <f>IF(V17="","",(IFERROR(VALUE(LEFT(V40,1)),0))/4)</f>
        <v/>
      </c>
      <c r="W13" s="11" t="n"/>
      <c r="X13" s="23">
        <f>IF(X17="","",(IFERROR(VALUE(LEFT(X40,1)),0))/4)</f>
        <v/>
      </c>
      <c r="Y13" s="11" t="n"/>
      <c r="Z13" s="23">
        <f>IF(Z17="","",(IFERROR(VALUE(LEFT(Z40,1)),0))/4)</f>
        <v/>
      </c>
      <c r="AA13" s="11" t="n"/>
      <c r="AB13" s="23">
        <f>IF(AB17="","",(IFERROR(VALUE(LEFT(AB40,1)),0))/4)</f>
        <v/>
      </c>
      <c r="AC13" s="11" t="n"/>
      <c r="AD13" s="23">
        <f>IF(AD17="","",(IFERROR(VALUE(LEFT(AD40,1)),0))/4)</f>
        <v/>
      </c>
      <c r="AE13" s="11" t="n"/>
      <c r="AF13" s="23">
        <f>IF(AF17="","",(IFERROR(VALUE(LEFT(AF40,1)),0))/4)</f>
        <v/>
      </c>
      <c r="AG13" s="11" t="n"/>
      <c r="AH13" s="23">
        <f>IF(AH17="","",(IFERROR(VALUE(LEFT(AH40,1)),0))/4)</f>
        <v/>
      </c>
      <c r="AI13" s="11" t="n"/>
      <c r="AJ13" s="23">
        <f>IF(AJ17="","",(IFERROR(VALUE(LEFT(AJ40,1)),0))/4)</f>
        <v/>
      </c>
      <c r="AK13" s="11" t="n"/>
    </row>
    <row r="14" ht="17" customHeight="1">
      <c r="C14" s="24" t="inlineStr">
        <is>
          <t>Partnership</t>
        </is>
      </c>
      <c r="F14" s="23">
        <f>IF(F17="","",(IFERROR(VALUE(LEFT(F43,1)),0))/4)</f>
        <v/>
      </c>
      <c r="G14" s="11" t="n"/>
      <c r="H14" s="23">
        <f>IF(H17="","",(IFERROR(VALUE(LEFT(H43,1)),0))/4)</f>
        <v/>
      </c>
      <c r="I14" s="11" t="n"/>
      <c r="J14" s="23">
        <f>IF(J17="","",(IFERROR(VALUE(LEFT(J43,1)),0))/4)</f>
        <v/>
      </c>
      <c r="K14" s="11" t="n"/>
      <c r="L14" s="23">
        <f>IF(L17="","",(IFERROR(VALUE(LEFT(L43,1)),0))/4)</f>
        <v/>
      </c>
      <c r="M14" s="11" t="n"/>
      <c r="N14" s="23">
        <f>IF(N17="","",(IFERROR(VALUE(LEFT(N43,1)),0))/4)</f>
        <v/>
      </c>
      <c r="O14" s="11" t="n"/>
      <c r="P14" s="23">
        <f>IF(P17="","",(IFERROR(VALUE(LEFT(P43,1)),0))/4)</f>
        <v/>
      </c>
      <c r="Q14" s="11" t="n"/>
      <c r="R14" s="23">
        <f>IF(R17="","",(IFERROR(VALUE(LEFT(R43,1)),0))/4)</f>
        <v/>
      </c>
      <c r="S14" s="11" t="n"/>
      <c r="T14" s="23">
        <f>IF(T17="","",(IFERROR(VALUE(LEFT(T43,1)),0))/4)</f>
        <v/>
      </c>
      <c r="U14" s="11" t="n"/>
      <c r="V14" s="23">
        <f>IF(V17="","",(IFERROR(VALUE(LEFT(V43,1)),0))/4)</f>
        <v/>
      </c>
      <c r="W14" s="11" t="n"/>
      <c r="X14" s="23">
        <f>IF(X17="","",(IFERROR(VALUE(LEFT(X43,1)),0))/4)</f>
        <v/>
      </c>
      <c r="Y14" s="11" t="n"/>
      <c r="Z14" s="23">
        <f>IF(Z17="","",(IFERROR(VALUE(LEFT(Z43,1)),0))/4)</f>
        <v/>
      </c>
      <c r="AA14" s="11" t="n"/>
      <c r="AB14" s="23">
        <f>IF(AB17="","",(IFERROR(VALUE(LEFT(AB43,1)),0))/4)</f>
        <v/>
      </c>
      <c r="AC14" s="11" t="n"/>
      <c r="AD14" s="23">
        <f>IF(AD17="","",(IFERROR(VALUE(LEFT(AD43,1)),0))/4)</f>
        <v/>
      </c>
      <c r="AE14" s="11" t="n"/>
      <c r="AF14" s="23">
        <f>IF(AF17="","",(IFERROR(VALUE(LEFT(AF43,1)),0))/4)</f>
        <v/>
      </c>
      <c r="AG14" s="11" t="n"/>
      <c r="AH14" s="23">
        <f>IF(AH17="","",(IFERROR(VALUE(LEFT(AH43,1)),0))/4)</f>
        <v/>
      </c>
      <c r="AI14" s="11" t="n"/>
      <c r="AJ14" s="23">
        <f>IF(AJ17="","",(IFERROR(VALUE(LEFT(AJ43,1)),0))/4)</f>
        <v/>
      </c>
      <c r="AK14" s="11" t="n"/>
    </row>
    <row r="16" ht="21" customHeight="1">
      <c r="B16" s="25" t="inlineStr">
        <is>
          <t>A  ·  COMPANY AND PRODUCT</t>
        </is>
      </c>
    </row>
    <row r="17" ht="30" customHeight="1">
      <c r="B17" s="26" t="inlineStr">
        <is>
          <t>A1</t>
        </is>
      </c>
      <c r="C17" s="27" t="inlineStr">
        <is>
          <t>Home Care Home Base integration</t>
        </is>
      </c>
      <c r="D17" s="28" t="inlineStr">
        <is>
          <t>Pick the line that matches their answer</t>
        </is>
      </c>
      <c r="E17" s="29">
        <f>'Start Here'!$C$10</f>
        <v/>
      </c>
      <c r="F17" s="30" t="n"/>
      <c r="G17" s="31" t="n"/>
      <c r="H17" s="30" t="n"/>
      <c r="I17" s="31" t="n"/>
      <c r="J17" s="30" t="n"/>
      <c r="K17" s="31" t="n"/>
      <c r="L17" s="30" t="n"/>
      <c r="M17" s="31" t="n"/>
      <c r="N17" s="30" t="n"/>
      <c r="O17" s="31" t="n"/>
      <c r="P17" s="30" t="n"/>
      <c r="Q17" s="31" t="n"/>
      <c r="R17" s="30" t="n"/>
      <c r="S17" s="31" t="n"/>
      <c r="T17" s="30" t="n"/>
      <c r="U17" s="31" t="n"/>
      <c r="V17" s="30" t="n"/>
      <c r="W17" s="31" t="n"/>
      <c r="X17" s="30" t="n"/>
      <c r="Y17" s="31" t="n"/>
      <c r="Z17" s="30" t="n"/>
      <c r="AA17" s="31" t="n"/>
      <c r="AB17" s="30" t="n"/>
      <c r="AC17" s="31" t="n"/>
      <c r="AD17" s="30" t="n"/>
      <c r="AE17" s="31" t="n"/>
      <c r="AF17" s="30" t="n"/>
      <c r="AG17" s="31" t="n"/>
      <c r="AH17" s="30" t="n"/>
      <c r="AI17" s="31" t="n"/>
      <c r="AJ17" s="30" t="n"/>
      <c r="AK17" s="31" t="n"/>
    </row>
    <row r="18" ht="24" customHeight="1">
      <c r="B18" s="32" t="inlineStr">
        <is>
          <t>A2</t>
        </is>
      </c>
      <c r="C18" s="33" t="inlineStr">
        <is>
          <t>Customers, scale and references</t>
        </is>
      </c>
      <c r="D18" s="34" t="inlineStr">
        <is>
          <t>Stop-check if one customer, or no references offered</t>
        </is>
      </c>
      <c r="E18" s="35" t="n"/>
      <c r="F18" s="36" t="n"/>
      <c r="G18" s="37" t="n"/>
      <c r="H18" s="36" t="n"/>
      <c r="I18" s="37" t="n"/>
      <c r="J18" s="36" t="n"/>
      <c r="K18" s="37" t="n"/>
      <c r="L18" s="36" t="n"/>
      <c r="M18" s="37" t="n"/>
      <c r="N18" s="36" t="n"/>
      <c r="O18" s="37" t="n"/>
      <c r="P18" s="36" t="n"/>
      <c r="Q18" s="37" t="n"/>
      <c r="R18" s="36" t="n"/>
      <c r="S18" s="37" t="n"/>
      <c r="T18" s="36" t="n"/>
      <c r="U18" s="37" t="n"/>
      <c r="V18" s="36" t="n"/>
      <c r="W18" s="37" t="n"/>
      <c r="X18" s="36" t="n"/>
      <c r="Y18" s="37" t="n"/>
      <c r="Z18" s="36" t="n"/>
      <c r="AA18" s="37" t="n"/>
      <c r="AB18" s="36" t="n"/>
      <c r="AC18" s="37" t="n"/>
      <c r="AD18" s="36" t="n"/>
      <c r="AE18" s="37" t="n"/>
      <c r="AF18" s="36" t="n"/>
      <c r="AG18" s="37" t="n"/>
      <c r="AH18" s="36" t="n"/>
      <c r="AI18" s="37" t="n"/>
      <c r="AJ18" s="36" t="n"/>
      <c r="AK18" s="37" t="n"/>
    </row>
    <row r="19" ht="24" customHeight="1">
      <c r="B19" s="32" t="inlineStr">
        <is>
          <t>A3</t>
        </is>
      </c>
      <c r="C19" s="33" t="inlineStr">
        <is>
          <t>Measured impact</t>
        </is>
      </c>
      <c r="D19" s="34" t="inlineStr">
        <is>
          <t>Watch if claimed with no baseline or period</t>
        </is>
      </c>
      <c r="E19" s="35" t="n"/>
      <c r="F19" s="36" t="n"/>
      <c r="G19" s="37" t="n"/>
      <c r="H19" s="36" t="n"/>
      <c r="I19" s="37" t="n"/>
      <c r="J19" s="36" t="n"/>
      <c r="K19" s="37" t="n"/>
      <c r="L19" s="36" t="n"/>
      <c r="M19" s="37" t="n"/>
      <c r="N19" s="36" t="n"/>
      <c r="O19" s="37" t="n"/>
      <c r="P19" s="36" t="n"/>
      <c r="Q19" s="37" t="n"/>
      <c r="R19" s="36" t="n"/>
      <c r="S19" s="37" t="n"/>
      <c r="T19" s="36" t="n"/>
      <c r="U19" s="37" t="n"/>
      <c r="V19" s="36" t="n"/>
      <c r="W19" s="37" t="n"/>
      <c r="X19" s="36" t="n"/>
      <c r="Y19" s="37" t="n"/>
      <c r="Z19" s="36" t="n"/>
      <c r="AA19" s="37" t="n"/>
      <c r="AB19" s="36" t="n"/>
      <c r="AC19" s="37" t="n"/>
      <c r="AD19" s="36" t="n"/>
      <c r="AE19" s="37" t="n"/>
      <c r="AF19" s="36" t="n"/>
      <c r="AG19" s="37" t="n"/>
      <c r="AH19" s="36" t="n"/>
      <c r="AI19" s="37" t="n"/>
      <c r="AJ19" s="36" t="n"/>
      <c r="AK19" s="37" t="n"/>
    </row>
    <row r="21" ht="21" customHeight="1">
      <c r="B21" s="25" t="inlineStr">
        <is>
          <t>B  ·  COVERAGE SELF-ASSESSMENT   —   how much of our scope they cover</t>
        </is>
      </c>
    </row>
    <row r="22" ht="17" customHeight="1">
      <c r="B22" s="38" t="inlineStr">
        <is>
          <t>CAPACITY   —   three marks of 0–4</t>
        </is>
      </c>
    </row>
    <row r="23" ht="24" customHeight="1">
      <c r="B23" s="32" t="inlineStr">
        <is>
          <t>Section B</t>
        </is>
      </c>
      <c r="C23" s="33" t="inlineStr">
        <is>
          <t>Workforce supply</t>
        </is>
      </c>
      <c r="D23" s="34" t="inlineStr">
        <is>
          <t>Roster, disciplines, roles, competencies, ramp, float pool</t>
        </is>
      </c>
      <c r="E23" s="39">
        <f>'Start Here'!$C$11</f>
        <v/>
      </c>
      <c r="F23" s="36" t="n"/>
      <c r="G23" s="37" t="n"/>
      <c r="H23" s="36" t="n"/>
      <c r="I23" s="37" t="n"/>
      <c r="J23" s="36" t="n"/>
      <c r="K23" s="37" t="n"/>
      <c r="L23" s="36" t="n"/>
      <c r="M23" s="37" t="n"/>
      <c r="N23" s="36" t="n"/>
      <c r="O23" s="37" t="n"/>
      <c r="P23" s="36" t="n"/>
      <c r="Q23" s="37" t="n"/>
      <c r="R23" s="36" t="n"/>
      <c r="S23" s="37" t="n"/>
      <c r="T23" s="36" t="n"/>
      <c r="U23" s="37" t="n"/>
      <c r="V23" s="36" t="n"/>
      <c r="W23" s="37" t="n"/>
      <c r="X23" s="36" t="n"/>
      <c r="Y23" s="37" t="n"/>
      <c r="Z23" s="36" t="n"/>
      <c r="AA23" s="37" t="n"/>
      <c r="AB23" s="36" t="n"/>
      <c r="AC23" s="37" t="n"/>
      <c r="AD23" s="36" t="n"/>
      <c r="AE23" s="37" t="n"/>
      <c r="AF23" s="36" t="n"/>
      <c r="AG23" s="37" t="n"/>
      <c r="AH23" s="36" t="n"/>
      <c r="AI23" s="37" t="n"/>
      <c r="AJ23" s="36" t="n"/>
      <c r="AK23" s="37" t="n"/>
    </row>
    <row r="24" ht="24" customHeight="1">
      <c r="B24" s="32" t="inlineStr">
        <is>
          <t>Section B</t>
        </is>
      </c>
      <c r="C24" s="33" t="inlineStr">
        <is>
          <t>Availability &amp; reach</t>
        </is>
      </c>
      <c r="D24" s="34" t="inlineStr">
        <is>
          <t>Availability and time off, territory, drive-time reachability</t>
        </is>
      </c>
      <c r="F24" s="36" t="n"/>
      <c r="G24" s="37" t="n"/>
      <c r="H24" s="36" t="n"/>
      <c r="I24" s="37" t="n"/>
      <c r="J24" s="36" t="n"/>
      <c r="K24" s="37" t="n"/>
      <c r="L24" s="36" t="n"/>
      <c r="M24" s="37" t="n"/>
      <c r="N24" s="36" t="n"/>
      <c r="O24" s="37" t="n"/>
      <c r="P24" s="36" t="n"/>
      <c r="Q24" s="37" t="n"/>
      <c r="R24" s="36" t="n"/>
      <c r="S24" s="37" t="n"/>
      <c r="T24" s="36" t="n"/>
      <c r="U24" s="37" t="n"/>
      <c r="V24" s="36" t="n"/>
      <c r="W24" s="37" t="n"/>
      <c r="X24" s="36" t="n"/>
      <c r="Y24" s="37" t="n"/>
      <c r="Z24" s="36" t="n"/>
      <c r="AA24" s="37" t="n"/>
      <c r="AB24" s="36" t="n"/>
      <c r="AC24" s="37" t="n"/>
      <c r="AD24" s="36" t="n"/>
      <c r="AE24" s="37" t="n"/>
      <c r="AF24" s="36" t="n"/>
      <c r="AG24" s="37" t="n"/>
      <c r="AH24" s="36" t="n"/>
      <c r="AI24" s="37" t="n"/>
      <c r="AJ24" s="36" t="n"/>
      <c r="AK24" s="37" t="n"/>
    </row>
    <row r="25" ht="24" customHeight="1">
      <c r="B25" s="32" t="inlineStr">
        <is>
          <t>Section B</t>
        </is>
      </c>
      <c r="C25" s="33" t="inlineStr">
        <is>
          <t>The capacity math</t>
        </is>
      </c>
      <c r="D25" s="34" t="inlineStr">
        <is>
          <t>Visit weighting, targets and ceilings, committed load vs. open room</t>
        </is>
      </c>
      <c r="F25" s="36" t="n"/>
      <c r="G25" s="37" t="n"/>
      <c r="H25" s="36" t="n"/>
      <c r="I25" s="37" t="n"/>
      <c r="J25" s="36" t="n"/>
      <c r="K25" s="37" t="n"/>
      <c r="L25" s="36" t="n"/>
      <c r="M25" s="37" t="n"/>
      <c r="N25" s="36" t="n"/>
      <c r="O25" s="37" t="n"/>
      <c r="P25" s="36" t="n"/>
      <c r="Q25" s="37" t="n"/>
      <c r="R25" s="36" t="n"/>
      <c r="S25" s="37" t="n"/>
      <c r="T25" s="36" t="n"/>
      <c r="U25" s="37" t="n"/>
      <c r="V25" s="36" t="n"/>
      <c r="W25" s="37" t="n"/>
      <c r="X25" s="36" t="n"/>
      <c r="Y25" s="37" t="n"/>
      <c r="Z25" s="36" t="n"/>
      <c r="AA25" s="37" t="n"/>
      <c r="AB25" s="36" t="n"/>
      <c r="AC25" s="37" t="n"/>
      <c r="AD25" s="36" t="n"/>
      <c r="AE25" s="37" t="n"/>
      <c r="AF25" s="36" t="n"/>
      <c r="AG25" s="37" t="n"/>
      <c r="AH25" s="36" t="n"/>
      <c r="AI25" s="37" t="n"/>
      <c r="AJ25" s="36" t="n"/>
      <c r="AK25" s="37" t="n"/>
    </row>
    <row r="26" ht="17" customHeight="1">
      <c r="B26" s="40" t="inlineStr">
        <is>
          <t>SCHEDULING   —   three marks of 0–4</t>
        </is>
      </c>
    </row>
    <row r="27" ht="24" customHeight="1">
      <c r="B27" s="26" t="inlineStr">
        <is>
          <t>Section B</t>
        </is>
      </c>
      <c r="C27" s="27" t="inlineStr">
        <is>
          <t>Demand &amp; matching</t>
        </is>
      </c>
      <c r="D27" s="28" t="inlineStr">
        <is>
          <t>Ordered visits, authorization, readiness — and who fits them</t>
        </is>
      </c>
      <c r="E27" s="41">
        <f>'Start Here'!$C$12</f>
        <v/>
      </c>
      <c r="F27" s="30" t="n"/>
      <c r="G27" s="31" t="n"/>
      <c r="H27" s="30" t="n"/>
      <c r="I27" s="31" t="n"/>
      <c r="J27" s="30" t="n"/>
      <c r="K27" s="31" t="n"/>
      <c r="L27" s="30" t="n"/>
      <c r="M27" s="31" t="n"/>
      <c r="N27" s="30" t="n"/>
      <c r="O27" s="31" t="n"/>
      <c r="P27" s="30" t="n"/>
      <c r="Q27" s="31" t="n"/>
      <c r="R27" s="30" t="n"/>
      <c r="S27" s="31" t="n"/>
      <c r="T27" s="30" t="n"/>
      <c r="U27" s="31" t="n"/>
      <c r="V27" s="30" t="n"/>
      <c r="W27" s="31" t="n"/>
      <c r="X27" s="30" t="n"/>
      <c r="Y27" s="31" t="n"/>
      <c r="Z27" s="30" t="n"/>
      <c r="AA27" s="31" t="n"/>
      <c r="AB27" s="30" t="n"/>
      <c r="AC27" s="31" t="n"/>
      <c r="AD27" s="30" t="n"/>
      <c r="AE27" s="31" t="n"/>
      <c r="AF27" s="30" t="n"/>
      <c r="AG27" s="31" t="n"/>
      <c r="AH27" s="30" t="n"/>
      <c r="AI27" s="31" t="n"/>
      <c r="AJ27" s="30" t="n"/>
      <c r="AK27" s="31" t="n"/>
    </row>
    <row r="28" ht="24" customHeight="1">
      <c r="B28" s="26" t="inlineStr">
        <is>
          <t>Section B</t>
        </is>
      </c>
      <c r="C28" s="27" t="inlineStr">
        <is>
          <t>Routing &amp; the week</t>
        </is>
      </c>
      <c r="D28" s="28" t="inlineStr">
        <is>
          <t>Routing, sequencing, front-loading, week balancing</t>
        </is>
      </c>
      <c r="F28" s="30" t="n"/>
      <c r="G28" s="31" t="n"/>
      <c r="H28" s="30" t="n"/>
      <c r="I28" s="31" t="n"/>
      <c r="J28" s="30" t="n"/>
      <c r="K28" s="31" t="n"/>
      <c r="L28" s="30" t="n"/>
      <c r="M28" s="31" t="n"/>
      <c r="N28" s="30" t="n"/>
      <c r="O28" s="31" t="n"/>
      <c r="P28" s="30" t="n"/>
      <c r="Q28" s="31" t="n"/>
      <c r="R28" s="30" t="n"/>
      <c r="S28" s="31" t="n"/>
      <c r="T28" s="30" t="n"/>
      <c r="U28" s="31" t="n"/>
      <c r="V28" s="30" t="n"/>
      <c r="W28" s="31" t="n"/>
      <c r="X28" s="30" t="n"/>
      <c r="Y28" s="31" t="n"/>
      <c r="Z28" s="30" t="n"/>
      <c r="AA28" s="31" t="n"/>
      <c r="AB28" s="30" t="n"/>
      <c r="AC28" s="31" t="n"/>
      <c r="AD28" s="30" t="n"/>
      <c r="AE28" s="31" t="n"/>
      <c r="AF28" s="30" t="n"/>
      <c r="AG28" s="31" t="n"/>
      <c r="AH28" s="30" t="n"/>
      <c r="AI28" s="31" t="n"/>
      <c r="AJ28" s="30" t="n"/>
      <c r="AK28" s="31" t="n"/>
    </row>
    <row r="29" ht="24" customHeight="1">
      <c r="B29" s="26" t="inlineStr">
        <is>
          <t>Section B</t>
        </is>
      </c>
      <c r="C29" s="27" t="inlineStr">
        <is>
          <t>Exceptions</t>
        </is>
      </c>
      <c r="D29" s="28" t="inlineStr">
        <is>
          <t>Missed visits, call-outs, reassignment, coverage, rebooking</t>
        </is>
      </c>
      <c r="F29" s="30" t="n"/>
      <c r="G29" s="31" t="n"/>
      <c r="H29" s="30" t="n"/>
      <c r="I29" s="31" t="n"/>
      <c r="J29" s="30" t="n"/>
      <c r="K29" s="31" t="n"/>
      <c r="L29" s="30" t="n"/>
      <c r="M29" s="31" t="n"/>
      <c r="N29" s="30" t="n"/>
      <c r="O29" s="31" t="n"/>
      <c r="P29" s="30" t="n"/>
      <c r="Q29" s="31" t="n"/>
      <c r="R29" s="30" t="n"/>
      <c r="S29" s="31" t="n"/>
      <c r="T29" s="30" t="n"/>
      <c r="U29" s="31" t="n"/>
      <c r="V29" s="30" t="n"/>
      <c r="W29" s="31" t="n"/>
      <c r="X29" s="30" t="n"/>
      <c r="Y29" s="31" t="n"/>
      <c r="Z29" s="30" t="n"/>
      <c r="AA29" s="31" t="n"/>
      <c r="AB29" s="30" t="n"/>
      <c r="AC29" s="31" t="n"/>
      <c r="AD29" s="30" t="n"/>
      <c r="AE29" s="31" t="n"/>
      <c r="AF29" s="30" t="n"/>
      <c r="AG29" s="31" t="n"/>
      <c r="AH29" s="30" t="n"/>
      <c r="AI29" s="31" t="n"/>
      <c r="AJ29" s="30" t="n"/>
      <c r="AK29" s="31" t="n"/>
    </row>
    <row r="30" ht="17" customHeight="1">
      <c r="B30" s="42" t="inlineStr">
        <is>
          <t>ENGAGEMENT   —   three marks of 0–4</t>
        </is>
      </c>
    </row>
    <row r="31" ht="24" customHeight="1">
      <c r="B31" s="32" t="inlineStr">
        <is>
          <t>Section B</t>
        </is>
      </c>
      <c r="C31" s="33" t="inlineStr">
        <is>
          <t>Before the visit</t>
        </is>
      </c>
      <c r="D31" s="34" t="inlineStr">
        <is>
          <t>Welcome call, availability capture, reminders, confirmation, en-route</t>
        </is>
      </c>
      <c r="E31" s="43">
        <f>'Start Here'!$C$13</f>
        <v/>
      </c>
      <c r="F31" s="36" t="n"/>
      <c r="G31" s="37" t="n"/>
      <c r="H31" s="36" t="n"/>
      <c r="I31" s="37" t="n"/>
      <c r="J31" s="36" t="n"/>
      <c r="K31" s="37" t="n"/>
      <c r="L31" s="36" t="n"/>
      <c r="M31" s="37" t="n"/>
      <c r="N31" s="36" t="n"/>
      <c r="O31" s="37" t="n"/>
      <c r="P31" s="36" t="n"/>
      <c r="Q31" s="37" t="n"/>
      <c r="R31" s="36" t="n"/>
      <c r="S31" s="37" t="n"/>
      <c r="T31" s="36" t="n"/>
      <c r="U31" s="37" t="n"/>
      <c r="V31" s="36" t="n"/>
      <c r="W31" s="37" t="n"/>
      <c r="X31" s="36" t="n"/>
      <c r="Y31" s="37" t="n"/>
      <c r="Z31" s="36" t="n"/>
      <c r="AA31" s="37" t="n"/>
      <c r="AB31" s="36" t="n"/>
      <c r="AC31" s="37" t="n"/>
      <c r="AD31" s="36" t="n"/>
      <c r="AE31" s="37" t="n"/>
      <c r="AF31" s="36" t="n"/>
      <c r="AG31" s="37" t="n"/>
      <c r="AH31" s="36" t="n"/>
      <c r="AI31" s="37" t="n"/>
      <c r="AJ31" s="36" t="n"/>
      <c r="AK31" s="37" t="n"/>
    </row>
    <row r="32" ht="24" customHeight="1">
      <c r="B32" s="32" t="inlineStr">
        <is>
          <t>Section B</t>
        </is>
      </c>
      <c r="C32" s="33" t="inlineStr">
        <is>
          <t>When plans change</t>
        </is>
      </c>
      <c r="D32" s="34" t="inlineStr">
        <is>
          <t>Reschedule, coverage outreach, urgent same-day needs, incentives</t>
        </is>
      </c>
      <c r="F32" s="36" t="n"/>
      <c r="G32" s="37" t="n"/>
      <c r="H32" s="36" t="n"/>
      <c r="I32" s="37" t="n"/>
      <c r="J32" s="36" t="n"/>
      <c r="K32" s="37" t="n"/>
      <c r="L32" s="36" t="n"/>
      <c r="M32" s="37" t="n"/>
      <c r="N32" s="36" t="n"/>
      <c r="O32" s="37" t="n"/>
      <c r="P32" s="36" t="n"/>
      <c r="Q32" s="37" t="n"/>
      <c r="R32" s="36" t="n"/>
      <c r="S32" s="37" t="n"/>
      <c r="T32" s="36" t="n"/>
      <c r="U32" s="37" t="n"/>
      <c r="V32" s="36" t="n"/>
      <c r="W32" s="37" t="n"/>
      <c r="X32" s="36" t="n"/>
      <c r="Y32" s="37" t="n"/>
      <c r="Z32" s="36" t="n"/>
      <c r="AA32" s="37" t="n"/>
      <c r="AB32" s="36" t="n"/>
      <c r="AC32" s="37" t="n"/>
      <c r="AD32" s="36" t="n"/>
      <c r="AE32" s="37" t="n"/>
      <c r="AF32" s="36" t="n"/>
      <c r="AG32" s="37" t="n"/>
      <c r="AH32" s="36" t="n"/>
      <c r="AI32" s="37" t="n"/>
      <c r="AJ32" s="36" t="n"/>
      <c r="AK32" s="37" t="n"/>
    </row>
    <row r="33" ht="24" customHeight="1">
      <c r="B33" s="32" t="inlineStr">
        <is>
          <t>Section B</t>
        </is>
      </c>
      <c r="C33" s="33" t="inlineStr">
        <is>
          <t>Across the care team</t>
        </is>
      </c>
      <c r="D33" s="34" t="inlineStr">
        <is>
          <t>Multi-discipline coordination, clinician and office updates</t>
        </is>
      </c>
      <c r="F33" s="36" t="n"/>
      <c r="G33" s="37" t="n"/>
      <c r="H33" s="36" t="n"/>
      <c r="I33" s="37" t="n"/>
      <c r="J33" s="36" t="n"/>
      <c r="K33" s="37" t="n"/>
      <c r="L33" s="36" t="n"/>
      <c r="M33" s="37" t="n"/>
      <c r="N33" s="36" t="n"/>
      <c r="O33" s="37" t="n"/>
      <c r="P33" s="36" t="n"/>
      <c r="Q33" s="37" t="n"/>
      <c r="R33" s="36" t="n"/>
      <c r="S33" s="37" t="n"/>
      <c r="T33" s="36" t="n"/>
      <c r="U33" s="37" t="n"/>
      <c r="V33" s="36" t="n"/>
      <c r="W33" s="37" t="n"/>
      <c r="X33" s="36" t="n"/>
      <c r="Y33" s="37" t="n"/>
      <c r="Z33" s="36" t="n"/>
      <c r="AA33" s="37" t="n"/>
      <c r="AB33" s="36" t="n"/>
      <c r="AC33" s="37" t="n"/>
      <c r="AD33" s="36" t="n"/>
      <c r="AE33" s="37" t="n"/>
      <c r="AF33" s="36" t="n"/>
      <c r="AG33" s="37" t="n"/>
      <c r="AH33" s="36" t="n"/>
      <c r="AI33" s="37" t="n"/>
      <c r="AJ33" s="36" t="n"/>
      <c r="AK33" s="37" t="n"/>
    </row>
    <row r="35" ht="21" customHeight="1">
      <c r="B35" s="25" t="inlineStr">
        <is>
          <t>C  ·  HOW YOUR PRODUCT WORKS</t>
        </is>
      </c>
    </row>
    <row r="36" ht="26" customHeight="1">
      <c r="B36" s="26" t="inlineStr">
        <is>
          <t>Section C</t>
        </is>
      </c>
      <c r="C36" s="27" t="inlineStr">
        <is>
          <t>Sophistication</t>
        </is>
      </c>
      <c r="D36" s="28" t="inlineStr">
        <is>
          <t>How much of the work the product does</t>
        </is>
      </c>
      <c r="E36" s="44">
        <f>'Start Here'!$C$14</f>
        <v/>
      </c>
      <c r="F36" s="30" t="n"/>
      <c r="G36" s="31" t="n"/>
      <c r="H36" s="30" t="n"/>
      <c r="I36" s="31" t="n"/>
      <c r="J36" s="30" t="n"/>
      <c r="K36" s="31" t="n"/>
      <c r="L36" s="30" t="n"/>
      <c r="M36" s="31" t="n"/>
      <c r="N36" s="30" t="n"/>
      <c r="O36" s="31" t="n"/>
      <c r="P36" s="30" t="n"/>
      <c r="Q36" s="31" t="n"/>
      <c r="R36" s="30" t="n"/>
      <c r="S36" s="31" t="n"/>
      <c r="T36" s="30" t="n"/>
      <c r="U36" s="31" t="n"/>
      <c r="V36" s="30" t="n"/>
      <c r="W36" s="31" t="n"/>
      <c r="X36" s="30" t="n"/>
      <c r="Y36" s="31" t="n"/>
      <c r="Z36" s="30" t="n"/>
      <c r="AA36" s="31" t="n"/>
      <c r="AB36" s="30" t="n"/>
      <c r="AC36" s="31" t="n"/>
      <c r="AD36" s="30" t="n"/>
      <c r="AE36" s="31" t="n"/>
      <c r="AF36" s="30" t="n"/>
      <c r="AG36" s="31" t="n"/>
      <c r="AH36" s="30" t="n"/>
      <c r="AI36" s="31" t="n"/>
      <c r="AJ36" s="30" t="n"/>
      <c r="AK36" s="31" t="n"/>
    </row>
    <row r="37" ht="24" customHeight="1">
      <c r="B37" s="32" t="inlineStr">
        <is>
          <t>C6</t>
        </is>
      </c>
      <c r="C37" s="33" t="inlineStr">
        <is>
          <t>When your product is down</t>
        </is>
      </c>
      <c r="D37" s="34" t="inlineStr">
        <is>
          <t>Stop-check if no uptime figure or contractual commitment</t>
        </is>
      </c>
      <c r="E37" s="35" t="n"/>
      <c r="F37" s="36" t="n"/>
      <c r="G37" s="37" t="n"/>
      <c r="H37" s="36" t="n"/>
      <c r="I37" s="37" t="n"/>
      <c r="J37" s="36" t="n"/>
      <c r="K37" s="37" t="n"/>
      <c r="L37" s="36" t="n"/>
      <c r="M37" s="37" t="n"/>
      <c r="N37" s="36" t="n"/>
      <c r="O37" s="37" t="n"/>
      <c r="P37" s="36" t="n"/>
      <c r="Q37" s="37" t="n"/>
      <c r="R37" s="36" t="n"/>
      <c r="S37" s="37" t="n"/>
      <c r="T37" s="36" t="n"/>
      <c r="U37" s="37" t="n"/>
      <c r="V37" s="36" t="n"/>
      <c r="W37" s="37" t="n"/>
      <c r="X37" s="36" t="n"/>
      <c r="Y37" s="37" t="n"/>
      <c r="Z37" s="36" t="n"/>
      <c r="AA37" s="37" t="n"/>
      <c r="AB37" s="36" t="n"/>
      <c r="AC37" s="37" t="n"/>
      <c r="AD37" s="36" t="n"/>
      <c r="AE37" s="37" t="n"/>
      <c r="AF37" s="36" t="n"/>
      <c r="AG37" s="37" t="n"/>
      <c r="AH37" s="36" t="n"/>
      <c r="AI37" s="37" t="n"/>
      <c r="AJ37" s="36" t="n"/>
      <c r="AK37" s="37" t="n"/>
    </row>
    <row r="39" ht="21" customHeight="1">
      <c r="B39" s="25" t="inlineStr">
        <is>
          <t>D  ·  THE CLINICIAN'S PLACE IN THE MODEL</t>
        </is>
      </c>
    </row>
    <row r="40" ht="26" customHeight="1">
      <c r="B40" s="26" t="inlineStr">
        <is>
          <t>D1–D3</t>
        </is>
      </c>
      <c r="C40" s="27" t="inlineStr">
        <is>
          <t>Clinician fit</t>
        </is>
      </c>
      <c r="D40" s="28" t="inlineStr">
        <is>
          <t>Our own read of fit — no checklist, on purpose</t>
        </is>
      </c>
      <c r="E40" s="45">
        <f>'Start Here'!$C$15</f>
        <v/>
      </c>
      <c r="F40" s="30" t="n"/>
      <c r="G40" s="31" t="n"/>
      <c r="H40" s="30" t="n"/>
      <c r="I40" s="31" t="n"/>
      <c r="J40" s="30" t="n"/>
      <c r="K40" s="31" t="n"/>
      <c r="L40" s="30" t="n"/>
      <c r="M40" s="31" t="n"/>
      <c r="N40" s="30" t="n"/>
      <c r="O40" s="31" t="n"/>
      <c r="P40" s="30" t="n"/>
      <c r="Q40" s="31" t="n"/>
      <c r="R40" s="30" t="n"/>
      <c r="S40" s="31" t="n"/>
      <c r="T40" s="30" t="n"/>
      <c r="U40" s="31" t="n"/>
      <c r="V40" s="30" t="n"/>
      <c r="W40" s="31" t="n"/>
      <c r="X40" s="30" t="n"/>
      <c r="Y40" s="31" t="n"/>
      <c r="Z40" s="30" t="n"/>
      <c r="AA40" s="31" t="n"/>
      <c r="AB40" s="30" t="n"/>
      <c r="AC40" s="31" t="n"/>
      <c r="AD40" s="30" t="n"/>
      <c r="AE40" s="31" t="n"/>
      <c r="AF40" s="30" t="n"/>
      <c r="AG40" s="31" t="n"/>
      <c r="AH40" s="30" t="n"/>
      <c r="AI40" s="31" t="n"/>
      <c r="AJ40" s="30" t="n"/>
      <c r="AK40" s="31" t="n"/>
    </row>
    <row r="42" ht="21" customHeight="1">
      <c r="B42" s="25" t="inlineStr">
        <is>
          <t>E  ·  FIT AND PARTNERSHIP</t>
        </is>
      </c>
    </row>
    <row r="43" ht="40" customHeight="1">
      <c r="B43" s="26" t="inlineStr">
        <is>
          <t>E1–E4</t>
        </is>
      </c>
      <c r="C43" s="27" t="inlineStr">
        <is>
          <t>Partnership</t>
        </is>
      </c>
      <c r="D43" s="28" t="inlineStr">
        <is>
          <t>Willing to build it with us, and open to a stake</t>
        </is>
      </c>
      <c r="E43" s="45">
        <f>'Start Here'!$C$16</f>
        <v/>
      </c>
      <c r="F43" s="30" t="n"/>
      <c r="G43" s="31" t="n"/>
      <c r="H43" s="30" t="n"/>
      <c r="I43" s="31" t="n"/>
      <c r="J43" s="30" t="n"/>
      <c r="K43" s="31" t="n"/>
      <c r="L43" s="30" t="n"/>
      <c r="M43" s="31" t="n"/>
      <c r="N43" s="30" t="n"/>
      <c r="O43" s="31" t="n"/>
      <c r="P43" s="30" t="n"/>
      <c r="Q43" s="31" t="n"/>
      <c r="R43" s="30" t="n"/>
      <c r="S43" s="31" t="n"/>
      <c r="T43" s="30" t="n"/>
      <c r="U43" s="31" t="n"/>
      <c r="V43" s="30" t="n"/>
      <c r="W43" s="31" t="n"/>
      <c r="X43" s="30" t="n"/>
      <c r="Y43" s="31" t="n"/>
      <c r="Z43" s="30" t="n"/>
      <c r="AA43" s="31" t="n"/>
      <c r="AB43" s="30" t="n"/>
      <c r="AC43" s="31" t="n"/>
      <c r="AD43" s="30" t="n"/>
      <c r="AE43" s="31" t="n"/>
      <c r="AF43" s="30" t="n"/>
      <c r="AG43" s="31" t="n"/>
      <c r="AH43" s="30" t="n"/>
      <c r="AI43" s="31" t="n"/>
      <c r="AJ43" s="30" t="n"/>
      <c r="AK43" s="31" t="n"/>
    </row>
    <row r="45" ht="21" customHeight="1">
      <c r="B45" s="16" t="inlineStr">
        <is>
          <t>INTANGIBLES   —   no points.  Strong, Neutral or Concern, and why.</t>
        </is>
      </c>
    </row>
    <row r="46" ht="26" customHeight="1">
      <c r="B46" s="46" t="inlineStr">
        <is>
          <t xml:space="preserve">    Fill these after the scored sections, and let them contradict the number if that is what you see. Write the reason and your initials — in the working session someone will ask what specifically gave you that read.</t>
        </is>
      </c>
    </row>
    <row r="47" ht="28" customHeight="1">
      <c r="B47" s="32" t="inlineStr">
        <is>
          <t>Feel</t>
        </is>
      </c>
      <c r="C47" s="33" t="inlineStr">
        <is>
          <t>Home health fluency</t>
        </is>
      </c>
      <c r="D47" s="34" t="inlineStr">
        <is>
          <t>Do these read like people who have stood in a branch? Unprompted vocabulary, problems they raise that we did not ask about.</t>
        </is>
      </c>
      <c r="E47" s="35" t="n"/>
      <c r="F47" s="36" t="n"/>
      <c r="G47" s="37" t="n"/>
      <c r="H47" s="36" t="n"/>
      <c r="I47" s="37" t="n"/>
      <c r="J47" s="36" t="n"/>
      <c r="K47" s="37" t="n"/>
      <c r="L47" s="36" t="n"/>
      <c r="M47" s="37" t="n"/>
      <c r="N47" s="36" t="n"/>
      <c r="O47" s="37" t="n"/>
      <c r="P47" s="36" t="n"/>
      <c r="Q47" s="37" t="n"/>
      <c r="R47" s="36" t="n"/>
      <c r="S47" s="37" t="n"/>
      <c r="T47" s="36" t="n"/>
      <c r="U47" s="37" t="n"/>
      <c r="V47" s="36" t="n"/>
      <c r="W47" s="37" t="n"/>
      <c r="X47" s="36" t="n"/>
      <c r="Y47" s="37" t="n"/>
      <c r="Z47" s="36" t="n"/>
      <c r="AA47" s="37" t="n"/>
      <c r="AB47" s="36" t="n"/>
      <c r="AC47" s="37" t="n"/>
      <c r="AD47" s="36" t="n"/>
      <c r="AE47" s="37" t="n"/>
      <c r="AF47" s="36" t="n"/>
      <c r="AG47" s="37" t="n"/>
      <c r="AH47" s="36" t="n"/>
      <c r="AI47" s="37" t="n"/>
      <c r="AJ47" s="36" t="n"/>
      <c r="AK47" s="37" t="n"/>
    </row>
    <row r="48" ht="28" customHeight="1">
      <c r="B48" s="32" t="inlineStr">
        <is>
          <t>Feel</t>
        </is>
      </c>
      <c r="C48" s="33" t="inlineStr">
        <is>
          <t>Candor about gaps</t>
        </is>
      </c>
      <c r="D48" s="34" t="inlineStr">
        <is>
          <t>Did they say 'we don't do that' anywhere? A vendor who claims everything has told us something.</t>
        </is>
      </c>
      <c r="E48" s="35" t="n"/>
      <c r="F48" s="36" t="n"/>
      <c r="G48" s="37" t="n"/>
      <c r="H48" s="36" t="n"/>
      <c r="I48" s="37" t="n"/>
      <c r="J48" s="36" t="n"/>
      <c r="K48" s="37" t="n"/>
      <c r="L48" s="36" t="n"/>
      <c r="M48" s="37" t="n"/>
      <c r="N48" s="36" t="n"/>
      <c r="O48" s="37" t="n"/>
      <c r="P48" s="36" t="n"/>
      <c r="Q48" s="37" t="n"/>
      <c r="R48" s="36" t="n"/>
      <c r="S48" s="37" t="n"/>
      <c r="T48" s="36" t="n"/>
      <c r="U48" s="37" t="n"/>
      <c r="V48" s="36" t="n"/>
      <c r="W48" s="37" t="n"/>
      <c r="X48" s="36" t="n"/>
      <c r="Y48" s="37" t="n"/>
      <c r="Z48" s="36" t="n"/>
      <c r="AA48" s="37" t="n"/>
      <c r="AB48" s="36" t="n"/>
      <c r="AC48" s="37" t="n"/>
      <c r="AD48" s="36" t="n"/>
      <c r="AE48" s="37" t="n"/>
      <c r="AF48" s="36" t="n"/>
      <c r="AG48" s="37" t="n"/>
      <c r="AH48" s="36" t="n"/>
      <c r="AI48" s="37" t="n"/>
      <c r="AJ48" s="36" t="n"/>
      <c r="AK48" s="37" t="n"/>
    </row>
    <row r="49" ht="28" customHeight="1">
      <c r="B49" s="32" t="inlineStr">
        <is>
          <t>Feel</t>
        </is>
      </c>
      <c r="C49" s="33" t="inlineStr">
        <is>
          <t>Who wrote this</t>
        </is>
      </c>
      <c r="D49" s="34" t="inlineStr">
        <is>
          <t>Marketing, sales engineer, or someone who built it. Specificity, and willingness to name a constraint.</t>
        </is>
      </c>
      <c r="E49" s="35" t="n"/>
      <c r="F49" s="36" t="n"/>
      <c r="G49" s="37" t="n"/>
      <c r="H49" s="36" t="n"/>
      <c r="I49" s="37" t="n"/>
      <c r="J49" s="36" t="n"/>
      <c r="K49" s="37" t="n"/>
      <c r="L49" s="36" t="n"/>
      <c r="M49" s="37" t="n"/>
      <c r="N49" s="36" t="n"/>
      <c r="O49" s="37" t="n"/>
      <c r="P49" s="36" t="n"/>
      <c r="Q49" s="37" t="n"/>
      <c r="R49" s="36" t="n"/>
      <c r="S49" s="37" t="n"/>
      <c r="T49" s="36" t="n"/>
      <c r="U49" s="37" t="n"/>
      <c r="V49" s="36" t="n"/>
      <c r="W49" s="37" t="n"/>
      <c r="X49" s="36" t="n"/>
      <c r="Y49" s="37" t="n"/>
      <c r="Z49" s="36" t="n"/>
      <c r="AA49" s="37" t="n"/>
      <c r="AB49" s="36" t="n"/>
      <c r="AC49" s="37" t="n"/>
      <c r="AD49" s="36" t="n"/>
      <c r="AE49" s="37" t="n"/>
      <c r="AF49" s="36" t="n"/>
      <c r="AG49" s="37" t="n"/>
      <c r="AH49" s="36" t="n"/>
      <c r="AI49" s="37" t="n"/>
      <c r="AJ49" s="36" t="n"/>
      <c r="AK49" s="37" t="n"/>
    </row>
    <row r="50" ht="28" customHeight="1">
      <c r="B50" s="32" t="inlineStr">
        <is>
          <t>Feel</t>
        </is>
      </c>
      <c r="C50" s="33" t="inlineStr">
        <is>
          <t>Durability</t>
        </is>
      </c>
      <c r="D50" s="34" t="inlineStr">
        <is>
          <t>Will they exist in three years, and will this still be their main business? Are we uncomfortably their largest customer?</t>
        </is>
      </c>
      <c r="E50" s="35" t="n"/>
      <c r="F50" s="36" t="n"/>
      <c r="G50" s="37" t="n"/>
      <c r="H50" s="36" t="n"/>
      <c r="I50" s="37" t="n"/>
      <c r="J50" s="36" t="n"/>
      <c r="K50" s="37" t="n"/>
      <c r="L50" s="36" t="n"/>
      <c r="M50" s="37" t="n"/>
      <c r="N50" s="36" t="n"/>
      <c r="O50" s="37" t="n"/>
      <c r="P50" s="36" t="n"/>
      <c r="Q50" s="37" t="n"/>
      <c r="R50" s="36" t="n"/>
      <c r="S50" s="37" t="n"/>
      <c r="T50" s="36" t="n"/>
      <c r="U50" s="37" t="n"/>
      <c r="V50" s="36" t="n"/>
      <c r="W50" s="37" t="n"/>
      <c r="X50" s="36" t="n"/>
      <c r="Y50" s="37" t="n"/>
      <c r="Z50" s="36" t="n"/>
      <c r="AA50" s="37" t="n"/>
      <c r="AB50" s="36" t="n"/>
      <c r="AC50" s="37" t="n"/>
      <c r="AD50" s="36" t="n"/>
      <c r="AE50" s="37" t="n"/>
      <c r="AF50" s="36" t="n"/>
      <c r="AG50" s="37" t="n"/>
      <c r="AH50" s="36" t="n"/>
      <c r="AI50" s="37" t="n"/>
      <c r="AJ50" s="36" t="n"/>
      <c r="AK50" s="37" t="n"/>
    </row>
    <row r="51" ht="28" customHeight="1">
      <c r="B51" s="32" t="inlineStr">
        <is>
          <t>Feel</t>
        </is>
      </c>
      <c r="C51" s="33" t="inlineStr">
        <is>
          <t>The room test</t>
        </is>
      </c>
      <c r="D51" s="34" t="inlineStr">
        <is>
          <t>Would we want these people in our building for two years? Leave blank until after the demo — on purpose.</t>
        </is>
      </c>
      <c r="E51" s="35" t="n"/>
      <c r="F51" s="36" t="n"/>
      <c r="G51" s="37" t="n"/>
      <c r="H51" s="36" t="n"/>
      <c r="I51" s="37" t="n"/>
      <c r="J51" s="36" t="n"/>
      <c r="K51" s="37" t="n"/>
      <c r="L51" s="36" t="n"/>
      <c r="M51" s="37" t="n"/>
      <c r="N51" s="36" t="n"/>
      <c r="O51" s="37" t="n"/>
      <c r="P51" s="36" t="n"/>
      <c r="Q51" s="37" t="n"/>
      <c r="R51" s="36" t="n"/>
      <c r="S51" s="37" t="n"/>
      <c r="T51" s="36" t="n"/>
      <c r="U51" s="37" t="n"/>
      <c r="V51" s="36" t="n"/>
      <c r="W51" s="37" t="n"/>
      <c r="X51" s="36" t="n"/>
      <c r="Y51" s="37" t="n"/>
      <c r="Z51" s="36" t="n"/>
      <c r="AA51" s="37" t="n"/>
      <c r="AB51" s="36" t="n"/>
      <c r="AC51" s="37" t="n"/>
      <c r="AD51" s="36" t="n"/>
      <c r="AE51" s="37" t="n"/>
      <c r="AF51" s="36" t="n"/>
      <c r="AG51" s="37" t="n"/>
      <c r="AH51" s="36" t="n"/>
      <c r="AI51" s="37" t="n"/>
      <c r="AJ51" s="36" t="n"/>
      <c r="AK51" s="37" t="n"/>
    </row>
    <row r="53" ht="21" customHeight="1">
      <c r="B53" s="47" t="inlineStr">
        <is>
          <t>NOTES   —   one line each.  This is what we go and ask.</t>
        </is>
      </c>
    </row>
    <row r="54" ht="54" customHeight="1">
      <c r="C54" s="48" t="inlineStr">
        <is>
          <t>What stands out</t>
        </is>
      </c>
      <c r="D54" s="49" t="inlineStr">
        <is>
          <t>against the field, or against our own thinking</t>
        </is>
      </c>
      <c r="E54" s="50" t="inlineStr">
        <is>
          <t>—</t>
        </is>
      </c>
      <c r="F54" s="37" t="n"/>
      <c r="H54" s="37" t="n"/>
      <c r="J54" s="37" t="n"/>
      <c r="L54" s="37" t="n"/>
      <c r="N54" s="37" t="n"/>
      <c r="P54" s="37" t="n"/>
      <c r="R54" s="37" t="n"/>
      <c r="T54" s="37" t="n"/>
      <c r="V54" s="37" t="n"/>
      <c r="X54" s="37" t="n"/>
      <c r="Z54" s="37" t="n"/>
      <c r="AB54" s="37" t="n"/>
      <c r="AD54" s="37" t="n"/>
      <c r="AF54" s="37" t="n"/>
      <c r="AH54" s="37" t="n"/>
      <c r="AJ54" s="37" t="n"/>
    </row>
    <row r="55" ht="54" customHeight="1">
      <c r="C55" s="48" t="inlineStr">
        <is>
          <t>What worries me</t>
        </is>
      </c>
      <c r="D55" s="49" t="inlineStr">
        <is>
          <t>including anything flagged above</t>
        </is>
      </c>
      <c r="E55" s="50" t="inlineStr">
        <is>
          <t>—</t>
        </is>
      </c>
      <c r="F55" s="37" t="n"/>
      <c r="H55" s="37" t="n"/>
      <c r="J55" s="37" t="n"/>
      <c r="L55" s="37" t="n"/>
      <c r="N55" s="37" t="n"/>
      <c r="P55" s="37" t="n"/>
      <c r="R55" s="37" t="n"/>
      <c r="T55" s="37" t="n"/>
      <c r="V55" s="37" t="n"/>
      <c r="X55" s="37" t="n"/>
      <c r="Z55" s="37" t="n"/>
      <c r="AB55" s="37" t="n"/>
      <c r="AD55" s="37" t="n"/>
      <c r="AF55" s="37" t="n"/>
      <c r="AH55" s="37" t="n"/>
      <c r="AJ55" s="37" t="n"/>
    </row>
    <row r="56" ht="54" customHeight="1">
      <c r="C56" s="48" t="inlineStr">
        <is>
          <t>What to go and ask</t>
        </is>
      </c>
      <c r="D56" s="49" t="inlineStr">
        <is>
          <t>the demo agenda</t>
        </is>
      </c>
      <c r="E56" s="50" t="inlineStr">
        <is>
          <t>—</t>
        </is>
      </c>
      <c r="F56" s="37" t="n"/>
      <c r="H56" s="37" t="n"/>
      <c r="J56" s="37" t="n"/>
      <c r="L56" s="37" t="n"/>
      <c r="N56" s="37" t="n"/>
      <c r="P56" s="37" t="n"/>
      <c r="R56" s="37" t="n"/>
      <c r="T56" s="37" t="n"/>
      <c r="V56" s="37" t="n"/>
      <c r="X56" s="37" t="n"/>
      <c r="Z56" s="37" t="n"/>
      <c r="AB56" s="37" t="n"/>
      <c r="AD56" s="37" t="n"/>
      <c r="AF56" s="37" t="n"/>
      <c r="AH56" s="37" t="n"/>
      <c r="AJ56" s="37" t="n"/>
    </row>
  </sheetData>
  <mergeCells count="65">
    <mergeCell ref="B46:AK46"/>
    <mergeCell ref="V55:W55"/>
    <mergeCell ref="B22:AK22"/>
    <mergeCell ref="E27:E29"/>
    <mergeCell ref="AF56:AG56"/>
    <mergeCell ref="Z55:AA55"/>
    <mergeCell ref="AH56:AI56"/>
    <mergeCell ref="AJ56:AK56"/>
    <mergeCell ref="AB55:AC55"/>
    <mergeCell ref="D1:E1"/>
    <mergeCell ref="F54:G54"/>
    <mergeCell ref="B21:AK21"/>
    <mergeCell ref="H54:I54"/>
    <mergeCell ref="F1:AK1"/>
    <mergeCell ref="N54:O54"/>
    <mergeCell ref="B39:AK39"/>
    <mergeCell ref="H55:I55"/>
    <mergeCell ref="Z54:AA54"/>
    <mergeCell ref="B42:AK42"/>
    <mergeCell ref="AB54:AC54"/>
    <mergeCell ref="H56:I56"/>
    <mergeCell ref="N56:O56"/>
    <mergeCell ref="F55:G55"/>
    <mergeCell ref="P56:Q56"/>
    <mergeCell ref="T54:U54"/>
    <mergeCell ref="B53:AK53"/>
    <mergeCell ref="AF54:AG54"/>
    <mergeCell ref="T55:U55"/>
    <mergeCell ref="P55:Q55"/>
    <mergeCell ref="J55:K55"/>
    <mergeCell ref="AH55:AI55"/>
    <mergeCell ref="L55:M55"/>
    <mergeCell ref="R55:S55"/>
    <mergeCell ref="Z56:AA56"/>
    <mergeCell ref="AB56:AC56"/>
    <mergeCell ref="X55:Y55"/>
    <mergeCell ref="AF55:AG55"/>
    <mergeCell ref="J54:K54"/>
    <mergeCell ref="B30:AK30"/>
    <mergeCell ref="L54:M54"/>
    <mergeCell ref="R54:S54"/>
    <mergeCell ref="AD55:AE55"/>
    <mergeCell ref="AD54:AE54"/>
    <mergeCell ref="V54:W54"/>
    <mergeCell ref="V56:W56"/>
    <mergeCell ref="E23:E25"/>
    <mergeCell ref="F56:G56"/>
    <mergeCell ref="B45:AK45"/>
    <mergeCell ref="J56:K56"/>
    <mergeCell ref="AJ55:AK55"/>
    <mergeCell ref="L56:M56"/>
    <mergeCell ref="R56:S56"/>
    <mergeCell ref="T56:U56"/>
    <mergeCell ref="B26:AK26"/>
    <mergeCell ref="X54:Y54"/>
    <mergeCell ref="B35:AK35"/>
    <mergeCell ref="AH54:AI54"/>
    <mergeCell ref="B7:AK7"/>
    <mergeCell ref="AJ54:AK54"/>
    <mergeCell ref="B16:AK16"/>
    <mergeCell ref="E31:E33"/>
    <mergeCell ref="N55:O55"/>
    <mergeCell ref="X56:Y56"/>
    <mergeCell ref="AD56:AE56"/>
    <mergeCell ref="P54:Q54"/>
  </mergeCells>
  <conditionalFormatting sqref="F3:AJ3">
    <cfRule type="colorScale" priority="1">
      <colorScale>
        <cfvo type="num" val="40"/>
        <cfvo type="num" val="65"/>
        <cfvo type="num" val="90"/>
        <color rgb="00F5E3E3"/>
        <color rgb="00FBF3DD"/>
        <color rgb="00DDEBE0"/>
      </colorScale>
    </cfRule>
  </conditionalFormatting>
  <conditionalFormatting sqref="F8:AJ8">
    <cfRule type="colorScale" priority="2">
      <colorScale>
        <cfvo type="num" val="0"/>
        <cfvo type="num" val="1"/>
        <color rgb="00FFFFFF"/>
        <color rgb="003F7A50"/>
      </colorScale>
    </cfRule>
  </conditionalFormatting>
  <conditionalFormatting sqref="F9:AJ9">
    <cfRule type="colorScale" priority="3">
      <colorScale>
        <cfvo type="num" val="0"/>
        <cfvo type="num" val="1"/>
        <color rgb="00FFFFFF"/>
        <color rgb="003F7A50"/>
      </colorScale>
    </cfRule>
  </conditionalFormatting>
  <conditionalFormatting sqref="F10:AJ10">
    <cfRule type="colorScale" priority="4">
      <colorScale>
        <cfvo type="num" val="0"/>
        <cfvo type="num" val="1"/>
        <color rgb="00FFFFFF"/>
        <color rgb="003F7A50"/>
      </colorScale>
    </cfRule>
  </conditionalFormatting>
  <conditionalFormatting sqref="F11:AJ11">
    <cfRule type="colorScale" priority="5">
      <colorScale>
        <cfvo type="num" val="0"/>
        <cfvo type="num" val="1"/>
        <color rgb="00FFFFFF"/>
        <color rgb="003F7A50"/>
      </colorScale>
    </cfRule>
  </conditionalFormatting>
  <conditionalFormatting sqref="F12:AJ12">
    <cfRule type="colorScale" priority="6">
      <colorScale>
        <cfvo type="num" val="0"/>
        <cfvo type="num" val="1"/>
        <color rgb="00FFFFFF"/>
        <color rgb="003F7A50"/>
      </colorScale>
    </cfRule>
  </conditionalFormatting>
  <conditionalFormatting sqref="F13:AJ13">
    <cfRule type="colorScale" priority="7">
      <colorScale>
        <cfvo type="num" val="0"/>
        <cfvo type="num" val="1"/>
        <color rgb="00FFFFFF"/>
        <color rgb="003F7A50"/>
      </colorScale>
    </cfRule>
  </conditionalFormatting>
  <conditionalFormatting sqref="F14:AJ14">
    <cfRule type="colorScale" priority="8">
      <colorScale>
        <cfvo type="num" val="0"/>
        <cfvo type="num" val="1"/>
        <color rgb="00FFFFFF"/>
        <color rgb="003F7A50"/>
      </colorScale>
    </cfRule>
  </conditionalFormatting>
  <conditionalFormatting sqref="F18:AJ18">
    <cfRule type="expression" priority="9" dxfId="0">
      <formula>F18="STOP-CHECK"</formula>
    </cfRule>
    <cfRule type="expression" priority="10" dxfId="1">
      <formula>F18="Watch"</formula>
    </cfRule>
  </conditionalFormatting>
  <conditionalFormatting sqref="F19:AJ19">
    <cfRule type="expression" priority="11" dxfId="0">
      <formula>F19="STOP-CHECK"</formula>
    </cfRule>
    <cfRule type="expression" priority="12" dxfId="1">
      <formula>F19="Watch"</formula>
    </cfRule>
  </conditionalFormatting>
  <conditionalFormatting sqref="F37:AJ37">
    <cfRule type="expression" priority="13" dxfId="0">
      <formula>F37="STOP-CHECK"</formula>
    </cfRule>
    <cfRule type="expression" priority="14" dxfId="1">
      <formula>F37="Watch"</formula>
    </cfRule>
  </conditionalFormatting>
  <conditionalFormatting sqref="F47:AJ47">
    <cfRule type="expression" priority="15" dxfId="0">
      <formula>F47="Concern"</formula>
    </cfRule>
    <cfRule type="expression" priority="16" dxfId="2">
      <formula>F47="Strong"</formula>
    </cfRule>
  </conditionalFormatting>
  <conditionalFormatting sqref="F48:AJ48">
    <cfRule type="expression" priority="17" dxfId="0">
      <formula>F48="Concern"</formula>
    </cfRule>
    <cfRule type="expression" priority="18" dxfId="2">
      <formula>F48="Strong"</formula>
    </cfRule>
  </conditionalFormatting>
  <conditionalFormatting sqref="F49:AJ49">
    <cfRule type="expression" priority="19" dxfId="0">
      <formula>F49="Concern"</formula>
    </cfRule>
    <cfRule type="expression" priority="20" dxfId="2">
      <formula>F49="Strong"</formula>
    </cfRule>
  </conditionalFormatting>
  <conditionalFormatting sqref="F50:AJ50">
    <cfRule type="expression" priority="21" dxfId="0">
      <formula>F50="Concern"</formula>
    </cfRule>
    <cfRule type="expression" priority="22" dxfId="2">
      <formula>F50="Strong"</formula>
    </cfRule>
  </conditionalFormatting>
  <conditionalFormatting sqref="F51:AJ51">
    <cfRule type="expression" priority="23" dxfId="0">
      <formula>F51="Concern"</formula>
    </cfRule>
    <cfRule type="expression" priority="24" dxfId="2">
      <formula>F51="Strong"</formula>
    </cfRule>
  </conditionalFormatting>
  <conditionalFormatting sqref="F4:AJ4">
    <cfRule type="expression" priority="25" dxfId="1">
      <formula>ISNUMBER(SEARCH("Conditional",F4))</formula>
    </cfRule>
  </conditionalFormatting>
  <dataValidations count="21">
    <dataValidation sqref="F17 H17 J17 L17 N17 P17 R17 T17 V17 X17 Z17 AB17 AD17 AF17 AH17 AJ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3 H23 J23 L23 N23 P23 R23 T23 V23 X23 Z23 AB23 AD23 AF23 AH23 AJ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4 H24 J24 L24 N24 P24 R24 T24 V24 X24 Z24 AB24 AD24 AF24 AH24 AJ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5 H25 J25 L25 N25 P25 R25 T25 V25 X25 Z25 AB25 AD25 AF25 AH25 AJ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7 H27 J27 L27 N27 P27 R27 T27 V27 X27 Z27 AB27 AD27 AF27 AH27 AJ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8 H28 J28 L28 N28 P28 R28 T28 V28 X28 Z28 AB28 AD28 AF28 AH28 AJ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29 H29 J29 L29 N29 P29 R29 T29 V29 X29 Z29 AB29 AD29 AF29 AH29 AJ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1 H31 J31 L31 N31 P31 R31 T31 V31 X31 Z31 AB31 AD31 AF31 AH31 AJ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2 H32 J32 L32 N32 P32 R32 T32 V32 X32 Z32 AB32 AD32 AF32 AH32 AJ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3 H33 J33 L33 N33 P33 R33 T33 V33 X33 Z33 AB33 AD33 AF33 AH33 AJ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36 H36 J36 L36 N36 P36 R36 T36 V36 X36 Z36 AB36 AD36 AF36 AH36 AJ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0 H40 J40 L40 N40 P40 R40 T40 V40 X40 Z40 AB40 AD40 AF40 AH40 AJ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3 H43 J43 L43 N43 P43 R43 T43 V43 X43 Z43 AB43 AD43 AF43 AH43 AJ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18 H18 J18 L18 N18 P18 R18 T18 V18 X18 Z18 AB18 AD18 AF18 AH18 AJ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19 H19 J19 L19 N19 P19 R19 T19 V19 X19 Z19 AB19 AD19 AF19 AH19 AJ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37 H37 J37 L37 N37 P37 R37 T37 V37 X37 Z37 AB37 AD37 AF37 AH37 AJ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47 H47 J47 L47 N47 P47 R47 T47 V47 X47 Z47 AB47 AD47 AF47 AH47 AJ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48 H48 J48 L48 N48 P48 R48 T48 V48 X48 Z48 AB48 AD48 AF48 AH48 AJ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49 H49 J49 L49 N49 P49 R49 T49 V49 X49 Z49 AB49 AD49 AF49 AH49 AJ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50 H50 J50 L50 N50 P50 R50 T50 V50 X50 Z50 AB50 AD50 AF50 AH50 AJ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F51 H51 J51 L51 N51 P51 R51 T51 V51 X51 Z51 AB51 AD51 AF51 AH51 AJ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9A7B15"/>
    <outlinePr summaryBelow="1" summaryRight="1"/>
    <pageSetUpPr/>
  </sheetPr>
  <dimension ref="B2:D85"/>
  <sheetViews>
    <sheetView showGridLines="0" tabSelected="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51" t="inlineStr">
        <is>
          <t>COMPASSUS  ·  HOME HEALTH</t>
        </is>
      </c>
    </row>
    <row r="3" ht="32" customHeight="1">
      <c r="B3" s="52" t="inlineStr">
        <is>
          <t>Vendor Scorecard</t>
        </is>
      </c>
    </row>
    <row r="4">
      <c r="B4" s="53" t="inlineStr">
        <is>
          <t>The questionnaire is the rubric. Read the return top to bottom and fill the sheet top to bottom.</t>
        </is>
      </c>
    </row>
    <row r="6" ht="10" customHeight="1"/>
    <row r="7" ht="22" customHeight="1">
      <c r="B7" s="25" t="inlineStr">
        <is>
          <t>WEIGHTS   —   change these</t>
        </is>
      </c>
    </row>
    <row r="8" ht="28" customHeight="1">
      <c r="B8" s="54"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55" t="inlineStr">
        <is>
          <t>Section</t>
        </is>
      </c>
      <c r="C9" s="56" t="inlineStr">
        <is>
          <t>Weight</t>
        </is>
      </c>
      <c r="D9" s="55" t="inlineStr">
        <is>
          <t>Graded from</t>
        </is>
      </c>
    </row>
    <row r="10" ht="22" customHeight="1">
      <c r="B10" s="24" t="inlineStr">
        <is>
          <t>Home Care Home Base</t>
        </is>
      </c>
      <c r="C10" s="57" t="n">
        <v>20</v>
      </c>
      <c r="D10" s="9" t="inlineStr">
        <is>
          <t>A1 — one rung of six</t>
        </is>
      </c>
    </row>
    <row r="11" ht="22" customHeight="1">
      <c r="B11" s="24" t="inlineStr">
        <is>
          <t>Capacity</t>
        </is>
      </c>
      <c r="C11" s="57" t="n">
        <v>12</v>
      </c>
      <c r="D11" s="9" t="inlineStr">
        <is>
          <t>Section B — three marks of 0–4</t>
        </is>
      </c>
    </row>
    <row r="12" ht="22" customHeight="1">
      <c r="B12" s="24" t="inlineStr">
        <is>
          <t>Scheduling</t>
        </is>
      </c>
      <c r="C12" s="57" t="n">
        <v>12</v>
      </c>
      <c r="D12" s="9" t="inlineStr">
        <is>
          <t>Section B — three marks of 0–4</t>
        </is>
      </c>
    </row>
    <row r="13" ht="22" customHeight="1">
      <c r="B13" s="24" t="inlineStr">
        <is>
          <t>Engagement</t>
        </is>
      </c>
      <c r="C13" s="57" t="n">
        <v>12</v>
      </c>
      <c r="D13" s="9" t="inlineStr">
        <is>
          <t>Section B — three marks of 0–4</t>
        </is>
      </c>
    </row>
    <row r="14" ht="22" customHeight="1">
      <c r="B14" s="24" t="inlineStr">
        <is>
          <t>Sophistication</t>
        </is>
      </c>
      <c r="C14" s="57" t="n">
        <v>20</v>
      </c>
      <c r="D14" s="9" t="inlineStr">
        <is>
          <t>Section C — one mark of 0–4</t>
        </is>
      </c>
    </row>
    <row r="15" ht="22" customHeight="1">
      <c r="B15" s="24" t="inlineStr">
        <is>
          <t>Clinician fit</t>
        </is>
      </c>
      <c r="C15" s="57" t="n">
        <v>12</v>
      </c>
      <c r="D15" s="9" t="inlineStr">
        <is>
          <t>D1–D3 — one mark of 0–4</t>
        </is>
      </c>
    </row>
    <row r="16" ht="22" customHeight="1">
      <c r="B16" s="24" t="inlineStr">
        <is>
          <t>Partnership</t>
        </is>
      </c>
      <c r="C16" s="57" t="n">
        <v>12</v>
      </c>
      <c r="D16" s="9" t="inlineStr">
        <is>
          <t>E1–E4 — one mark of 0–4</t>
        </is>
      </c>
    </row>
    <row r="17" ht="24" customHeight="1">
      <c r="B17" s="58" t="inlineStr">
        <is>
          <t>TOTAL</t>
        </is>
      </c>
      <c r="C17" s="59">
        <f>SUM(C10:C16)</f>
        <v/>
      </c>
      <c r="D17" s="46" t="inlineStr">
        <is>
          <t>Keep this at 100 and the total stays out of 100.</t>
        </is>
      </c>
    </row>
    <row r="19" ht="22" customHeight="1">
      <c r="B19" s="25" t="inlineStr">
        <is>
          <t>HOW IT WORKS</t>
        </is>
      </c>
    </row>
    <row r="20" ht="28" customHeight="1">
      <c r="B20" s="54"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54"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25" t="inlineStr">
        <is>
          <t>A1  ·  HOME CARE HOME BASE   —   pick one line</t>
        </is>
      </c>
    </row>
    <row r="24" ht="28" customHeight="1">
      <c r="B24" s="54" t="inlineStr">
        <is>
          <t>Three of the six rungs are live integrations, because live through a partner is still live. Anything not yet live shows as Conditional on the band, whatever the total.</t>
        </is>
      </c>
    </row>
    <row r="25" ht="20" customHeight="1">
      <c r="B25" s="60" t="inlineStr">
        <is>
          <t>20</t>
        </is>
      </c>
      <c r="C25" s="54" t="inlineStr">
        <is>
          <t>Live — established customer base</t>
        </is>
      </c>
    </row>
    <row r="26" ht="20" customHeight="1">
      <c r="B26" s="60" t="inlineStr">
        <is>
          <t>16</t>
        </is>
      </c>
      <c r="C26" s="54" t="inlineStr">
        <is>
          <t>Live — small customer base</t>
        </is>
      </c>
    </row>
    <row r="27" ht="20" customHeight="1">
      <c r="B27" s="60" t="inlineStr">
        <is>
          <t>12</t>
        </is>
      </c>
      <c r="C27" s="54" t="inlineStr">
        <is>
          <t>Live — through a partner</t>
        </is>
      </c>
    </row>
    <row r="28" ht="20" customHeight="1">
      <c r="B28" s="60" t="inlineStr">
        <is>
          <t>6</t>
        </is>
      </c>
      <c r="C28" s="54" t="inlineStr">
        <is>
          <t>In development — with a date</t>
        </is>
      </c>
    </row>
    <row r="29" ht="20" customHeight="1">
      <c r="B29" s="60" t="inlineStr">
        <is>
          <t>2</t>
        </is>
      </c>
      <c r="C29" s="54" t="inlineStr">
        <is>
          <t>On the roadmap — no date</t>
        </is>
      </c>
    </row>
    <row r="30" ht="20" customHeight="1">
      <c r="B30" s="60" t="inlineStr">
        <is>
          <t>0</t>
        </is>
      </c>
      <c r="C30" s="54" t="inlineStr">
        <is>
          <t>None, and no path to one</t>
        </is>
      </c>
    </row>
    <row r="31" ht="10" customHeight="1"/>
    <row r="32" ht="22" customHeight="1">
      <c r="B32" s="25" t="inlineStr">
        <is>
          <t>SECTION B  ·  SCOPE   —   three marks per arena, 0 to 4</t>
        </is>
      </c>
    </row>
    <row r="33" ht="41" customHeight="1">
      <c r="B33" s="54"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0" t="inlineStr">
        <is>
          <t>4</t>
        </is>
      </c>
      <c r="C34" s="54" t="inlineStr">
        <is>
          <t>Most of it</t>
        </is>
      </c>
    </row>
    <row r="35" ht="20" customHeight="1">
      <c r="B35" s="60" t="inlineStr">
        <is>
          <t>3</t>
        </is>
      </c>
      <c r="C35" s="54" t="inlineStr">
        <is>
          <t>More than half</t>
        </is>
      </c>
    </row>
    <row r="36" ht="20" customHeight="1">
      <c r="B36" s="60" t="inlineStr">
        <is>
          <t>2</t>
        </is>
      </c>
      <c r="C36" s="54" t="inlineStr">
        <is>
          <t>About half</t>
        </is>
      </c>
    </row>
    <row r="37" ht="20" customHeight="1">
      <c r="B37" s="60" t="inlineStr">
        <is>
          <t>1</t>
        </is>
      </c>
      <c r="C37" s="54" t="inlineStr">
        <is>
          <t>A corner of it</t>
        </is>
      </c>
    </row>
    <row r="38" ht="20" customHeight="1">
      <c r="B38" s="60" t="inlineStr">
        <is>
          <t>0</t>
        </is>
      </c>
      <c r="C38" s="54" t="inlineStr">
        <is>
          <t>Nothing here</t>
        </is>
      </c>
    </row>
    <row r="39" ht="10" customHeight="1"/>
    <row r="40" ht="22" customHeight="1">
      <c r="B40" s="25" t="inlineStr">
        <is>
          <t>SECTION C  ·  SOPHISTICATION   —   one mark, 0 to 4</t>
        </is>
      </c>
    </row>
    <row r="41" ht="28" customHeight="1">
      <c r="B41" s="54"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0" t="inlineStr">
        <is>
          <t>4</t>
        </is>
      </c>
      <c r="C42" s="54" t="inlineStr">
        <is>
          <t>Runs it — decides across the whole picture, and re-decides when things change</t>
        </is>
      </c>
    </row>
    <row r="43" ht="20" customHeight="1">
      <c r="B43" s="60" t="inlineStr">
        <is>
          <t>3</t>
        </is>
      </c>
      <c r="C43" s="54" t="inlineStr">
        <is>
          <t>Recommends it — works out the answer and proposes it; a person confirms</t>
        </is>
      </c>
    </row>
    <row r="44" ht="20" customHeight="1">
      <c r="B44" s="60" t="inlineStr">
        <is>
          <t>2</t>
        </is>
      </c>
      <c r="C44" s="54" t="inlineStr">
        <is>
          <t>Checks it — applies rules and flags problems; a person still works it</t>
        </is>
      </c>
    </row>
    <row r="45" ht="20" customHeight="1">
      <c r="B45" s="60" t="inlineStr">
        <is>
          <t>1</t>
        </is>
      </c>
      <c r="C45" s="54" t="inlineStr">
        <is>
          <t>Shows it — surfaces the information; a person does all the work</t>
        </is>
      </c>
    </row>
    <row r="46" ht="20" customHeight="1">
      <c r="B46" s="60" t="inlineStr">
        <is>
          <t>0</t>
        </is>
      </c>
      <c r="C46" s="54" t="inlineStr">
        <is>
          <t>Not addressed</t>
        </is>
      </c>
    </row>
    <row r="47" ht="10" customHeight="1"/>
    <row r="48" ht="22" customHeight="1">
      <c r="B48" s="25" t="inlineStr">
        <is>
          <t>SECTION D  ·  CLINICIAN FIT   —   one mark, 0 to 4</t>
        </is>
      </c>
    </row>
    <row r="49" ht="28" customHeight="1">
      <c r="B49" s="54" t="inlineStr">
        <is>
          <t>No descriptions on purpose. Read D1 to D3 and give it your own read — we know how our clinicians work and what they will accept. Say why in the notes column.</t>
        </is>
      </c>
    </row>
    <row r="50" ht="20" customHeight="1">
      <c r="B50" s="60" t="inlineStr">
        <is>
          <t>4</t>
        </is>
      </c>
      <c r="C50" s="54" t="inlineStr">
        <is>
          <t>Strong fit</t>
        </is>
      </c>
    </row>
    <row r="51" ht="20" customHeight="1">
      <c r="B51" s="60" t="inlineStr">
        <is>
          <t>3</t>
        </is>
      </c>
      <c r="C51" s="54" t="inlineStr">
        <is>
          <t>Good fit</t>
        </is>
      </c>
    </row>
    <row r="52" ht="20" customHeight="1">
      <c r="B52" s="60" t="inlineStr">
        <is>
          <t>2</t>
        </is>
      </c>
      <c r="C52" s="54" t="inlineStr">
        <is>
          <t>Workable</t>
        </is>
      </c>
    </row>
    <row r="53" ht="20" customHeight="1">
      <c r="B53" s="60" t="inlineStr">
        <is>
          <t>1</t>
        </is>
      </c>
      <c r="C53" s="54" t="inlineStr">
        <is>
          <t>Poor fit</t>
        </is>
      </c>
    </row>
    <row r="54" ht="20" customHeight="1">
      <c r="B54" s="60" t="inlineStr">
        <is>
          <t>0</t>
        </is>
      </c>
      <c r="C54" s="54" t="inlineStr">
        <is>
          <t>Not answered</t>
        </is>
      </c>
    </row>
    <row r="55" ht="10" customHeight="1"/>
    <row r="56" ht="22" customHeight="1">
      <c r="B56" s="25" t="inlineStr">
        <is>
          <t>SECTION E  ·  PARTNERSHIP   —   one mark, 0 to 4</t>
        </is>
      </c>
    </row>
    <row r="57" ht="28" customHeight="1">
      <c r="B57" s="54"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0" t="inlineStr">
        <is>
          <t>4</t>
        </is>
      </c>
      <c r="C58" s="54" t="inlineStr">
        <is>
          <t>Open to equity or a stake in what we build, and set up to build it with us</t>
        </is>
      </c>
    </row>
    <row r="59" ht="20" customHeight="1">
      <c r="B59" s="60" t="inlineStr">
        <is>
          <t>3</t>
        </is>
      </c>
      <c r="C59" s="54" t="inlineStr">
        <is>
          <t>Ready to build to our needs as a design partner; ownership not addressed</t>
        </is>
      </c>
    </row>
    <row r="60" ht="20" customHeight="1">
      <c r="B60" s="60" t="inlineStr">
        <is>
          <t>2</t>
        </is>
      </c>
      <c r="C60" s="54" t="inlineStr">
        <is>
          <t>Will take our input, but they own the roadmap and the product</t>
        </is>
      </c>
    </row>
    <row r="61" ht="20" customHeight="1">
      <c r="B61" s="60" t="inlineStr">
        <is>
          <t>1</t>
        </is>
      </c>
      <c r="C61" s="54" t="inlineStr">
        <is>
          <t>A standard customer relationship — we buy what already exists</t>
        </is>
      </c>
    </row>
    <row r="62" ht="20" customHeight="1">
      <c r="B62" s="60" t="inlineStr">
        <is>
          <t>0</t>
        </is>
      </c>
      <c r="C62" s="54" t="inlineStr">
        <is>
          <t>Not answered</t>
        </is>
      </c>
    </row>
    <row r="63" ht="10" customHeight="1"/>
    <row r="64" ht="22" customHeight="1">
      <c r="B64" s="25" t="inlineStr">
        <is>
          <t>INTANGIBLES   —   no points, and allowed to disagree with the score</t>
        </is>
      </c>
    </row>
    <row r="65" ht="28" customHeight="1">
      <c r="B65" s="54"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0" t="inlineStr"/>
      <c r="C66" s="54" t="inlineStr">
        <is>
          <t>Home health fluency</t>
        </is>
      </c>
    </row>
    <row r="67" ht="20" customHeight="1">
      <c r="B67" s="60" t="inlineStr"/>
      <c r="C67" s="54" t="inlineStr">
        <is>
          <t>Candor about gaps</t>
        </is>
      </c>
    </row>
    <row r="68" ht="20" customHeight="1">
      <c r="B68" s="60" t="inlineStr"/>
      <c r="C68" s="54" t="inlineStr">
        <is>
          <t>Who wrote this</t>
        </is>
      </c>
    </row>
    <row r="69" ht="20" customHeight="1">
      <c r="B69" s="60" t="inlineStr"/>
      <c r="C69" s="54" t="inlineStr">
        <is>
          <t>Durability</t>
        </is>
      </c>
    </row>
    <row r="70" ht="20" customHeight="1">
      <c r="B70" s="60" t="inlineStr"/>
      <c r="C70" s="54" t="inlineStr">
        <is>
          <t>The room test</t>
        </is>
      </c>
    </row>
    <row r="71" ht="28" customHeight="1">
      <c r="B71" s="54"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25" t="inlineStr">
        <is>
          <t>THE THREE THAT RAISE A FLAG INSTEAD</t>
        </is>
      </c>
    </row>
    <row r="74" ht="20" customHeight="1">
      <c r="B74" s="60" t="inlineStr">
        <is>
          <t>A2</t>
        </is>
      </c>
      <c r="C74" s="54" t="inlineStr">
        <is>
          <t>Customers, scale and references — stop-check if one customer, or no references</t>
        </is>
      </c>
    </row>
    <row r="75" ht="20" customHeight="1">
      <c r="B75" s="60" t="inlineStr">
        <is>
          <t>A3</t>
        </is>
      </c>
      <c r="C75" s="54" t="inlineStr">
        <is>
          <t>Measured impact — watch if claimed with no baseline or period</t>
        </is>
      </c>
    </row>
    <row r="76" ht="20" customHeight="1">
      <c r="B76" s="60" t="inlineStr">
        <is>
          <t>C6</t>
        </is>
      </c>
      <c r="C76" s="54" t="inlineStr">
        <is>
          <t>When your product is down — stop-check if no uptime figure or commitment</t>
        </is>
      </c>
    </row>
    <row r="77" ht="10" customHeight="1"/>
    <row r="78" ht="22" customHeight="1">
      <c r="B78" s="25" t="inlineStr">
        <is>
          <t>BANDS</t>
        </is>
      </c>
    </row>
    <row r="79" ht="20" customHeight="1">
      <c r="B79" s="60" t="inlineStr">
        <is>
          <t>80–100</t>
        </is>
      </c>
      <c r="C79" s="54" t="inlineStr">
        <is>
          <t>Advance</t>
        </is>
      </c>
    </row>
    <row r="80" ht="20" customHeight="1">
      <c r="B80" s="60" t="inlineStr">
        <is>
          <t>65–79</t>
        </is>
      </c>
      <c r="C80" s="54" t="inlineStr">
        <is>
          <t>Consider</t>
        </is>
      </c>
    </row>
    <row r="81" ht="20" customHeight="1">
      <c r="B81" s="60" t="inlineStr">
        <is>
          <t>50–64</t>
        </is>
      </c>
      <c r="C81" s="54" t="inlineStr">
        <is>
          <t>Hold</t>
        </is>
      </c>
    </row>
    <row r="82" ht="20" customHeight="1">
      <c r="B82" s="60" t="inlineStr">
        <is>
          <t>&lt; 50</t>
        </is>
      </c>
      <c r="C82" s="54" t="inlineStr">
        <is>
          <t>Decline</t>
        </is>
      </c>
    </row>
    <row r="83" ht="20" customHeight="1">
      <c r="B83" s="60" t="inlineStr">
        <is>
          <t>Conditional</t>
        </is>
      </c>
      <c r="C83" s="54" t="inlineStr">
        <is>
          <t>Shown whenever the integration is not yet live, whatever the total</t>
        </is>
      </c>
    </row>
    <row r="85">
      <c r="B85" s="61"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W3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s>
  <sheetData>
    <row r="2" ht="22" customHeight="1">
      <c r="B2" s="62" t="inlineStr">
        <is>
          <t>Questions</t>
        </is>
      </c>
      <c r="D2" s="63" t="inlineStr">
        <is>
          <t>COMPASSUS  ·  CAPACITY &amp; SCHEDULING</t>
        </is>
      </c>
    </row>
    <row r="3">
      <c r="B3" s="46" t="inlineStr">
        <is>
          <t>What we make each vendor prove at the demo. Three per section, written as the return is scored, so a gap lands next to the question that exposed it.</t>
        </is>
      </c>
    </row>
    <row r="5" ht="34" customHeight="1">
      <c r="B5" s="64" t="inlineStr">
        <is>
          <t>#</t>
        </is>
      </c>
      <c r="D5" s="65">
        <f>IF(Scorecard!F2="","Vendor 01",Scorecard!F2)</f>
        <v/>
      </c>
      <c r="E5" s="65">
        <f>IF(Scorecard!H2="","Vendor 02",Scorecard!H2)</f>
        <v/>
      </c>
      <c r="F5" s="65">
        <f>IF(Scorecard!J2="","Vendor 03",Scorecard!J2)</f>
        <v/>
      </c>
      <c r="G5" s="65">
        <f>IF(Scorecard!L2="","Vendor 04",Scorecard!L2)</f>
        <v/>
      </c>
      <c r="H5" s="65">
        <f>IF(Scorecard!N2="","Vendor 05",Scorecard!N2)</f>
        <v/>
      </c>
      <c r="I5" s="65">
        <f>IF(Scorecard!P2="","Vendor 06",Scorecard!P2)</f>
        <v/>
      </c>
      <c r="J5" s="65">
        <f>IF(Scorecard!R2="","Vendor 07",Scorecard!R2)</f>
        <v/>
      </c>
      <c r="K5" s="65">
        <f>IF(Scorecard!T2="","Vendor 08",Scorecard!T2)</f>
        <v/>
      </c>
      <c r="L5" s="65">
        <f>IF(Scorecard!V2="","Vendor 09",Scorecard!V2)</f>
        <v/>
      </c>
      <c r="M5" s="65">
        <f>IF(Scorecard!X2="","Vendor 10",Scorecard!X2)</f>
        <v/>
      </c>
      <c r="N5" s="65">
        <f>IF(Scorecard!Z2="","Vendor 11",Scorecard!Z2)</f>
        <v/>
      </c>
      <c r="O5" s="65">
        <f>IF(Scorecard!AB2="","Vendor 12",Scorecard!AB2)</f>
        <v/>
      </c>
      <c r="P5" s="65">
        <f>IF(Scorecard!AD2="","Vendor 13",Scorecard!AD2)</f>
        <v/>
      </c>
      <c r="Q5" s="65">
        <f>IF(Scorecard!AF2="","Vendor 14",Scorecard!AF2)</f>
        <v/>
      </c>
      <c r="R5" s="65">
        <f>IF(Scorecard!AH2="","Vendor 15",Scorecard!AH2)</f>
        <v/>
      </c>
      <c r="S5" s="65">
        <f>IF(Scorecard!AJ2="","Vendor 16",Scorecard!AJ2)</f>
        <v/>
      </c>
      <c r="T5" s="65" t="inlineStr">
        <is>
          <t>Vendor 17</t>
        </is>
      </c>
      <c r="U5" s="65" t="inlineStr">
        <is>
          <t>Vendor 18</t>
        </is>
      </c>
      <c r="V5" s="65" t="inlineStr">
        <is>
          <t>Vendor 19</t>
        </is>
      </c>
      <c r="W5" s="65" t="inlineStr">
        <is>
          <t>Vendor 20</t>
        </is>
      </c>
    </row>
    <row r="7" ht="21" customHeight="1">
      <c r="B7" s="25" t="inlineStr">
        <is>
          <t>A  ·  COMPANY AND PRODUCT      A1 integration · A2 scale and references · A3 measured impact</t>
        </is>
      </c>
    </row>
    <row r="8" ht="46" customHeight="1">
      <c r="B8" s="66" t="n">
        <v>1</v>
      </c>
      <c r="D8" s="67" t="n"/>
      <c r="E8" s="67" t="n"/>
      <c r="F8" s="67" t="n"/>
      <c r="G8" s="67" t="n"/>
      <c r="H8" s="67" t="n"/>
      <c r="I8" s="67" t="n"/>
      <c r="J8" s="67" t="n"/>
      <c r="K8" s="67" t="n"/>
      <c r="L8" s="67" t="n"/>
      <c r="M8" s="67" t="n"/>
      <c r="N8" s="67" t="n"/>
      <c r="O8" s="67" t="n"/>
      <c r="P8" s="67" t="n"/>
      <c r="Q8" s="67" t="n"/>
      <c r="R8" s="67" t="n"/>
      <c r="S8" s="67" t="n"/>
      <c r="T8" s="67" t="n"/>
      <c r="U8" s="67" t="n"/>
      <c r="V8" s="67" t="n"/>
      <c r="W8" s="67" t="n"/>
    </row>
    <row r="9" ht="46" customHeight="1">
      <c r="B9" s="66" t="n">
        <v>2</v>
      </c>
      <c r="D9" s="67" t="n"/>
      <c r="E9" s="67" t="n"/>
      <c r="F9" s="67" t="n"/>
      <c r="G9" s="67" t="n"/>
      <c r="H9" s="67" t="n"/>
      <c r="I9" s="67" t="n"/>
      <c r="J9" s="67" t="n"/>
      <c r="K9" s="67" t="n"/>
      <c r="L9" s="67" t="n"/>
      <c r="M9" s="67" t="n"/>
      <c r="N9" s="67" t="n"/>
      <c r="O9" s="67" t="n"/>
      <c r="P9" s="67" t="n"/>
      <c r="Q9" s="67" t="n"/>
      <c r="R9" s="67" t="n"/>
      <c r="S9" s="67" t="n"/>
      <c r="T9" s="67" t="n"/>
      <c r="U9" s="67" t="n"/>
      <c r="V9" s="67" t="n"/>
      <c r="W9" s="67" t="n"/>
    </row>
    <row r="10" ht="46" customHeight="1">
      <c r="B10" s="66" t="n">
        <v>3</v>
      </c>
      <c r="D10" s="67" t="n"/>
      <c r="E10" s="67" t="n"/>
      <c r="F10" s="67" t="n"/>
      <c r="G10" s="67" t="n"/>
      <c r="H10" s="67" t="n"/>
      <c r="I10" s="67" t="n"/>
      <c r="J10" s="67" t="n"/>
      <c r="K10" s="67" t="n"/>
      <c r="L10" s="67" t="n"/>
      <c r="M10" s="67" t="n"/>
      <c r="N10" s="67" t="n"/>
      <c r="O10" s="67" t="n"/>
      <c r="P10" s="67" t="n"/>
      <c r="Q10" s="67" t="n"/>
      <c r="R10" s="67" t="n"/>
      <c r="S10" s="67" t="n"/>
      <c r="T10" s="67" t="n"/>
      <c r="U10" s="67" t="n"/>
      <c r="V10" s="67" t="n"/>
      <c r="W10" s="67" t="n"/>
    </row>
    <row r="12" ht="21" customHeight="1">
      <c r="B12" s="25" t="inlineStr">
        <is>
          <t>B  ·  COVERAGE SELF-ASSESSMENT      anything claimed in scope that Section C did not support</t>
        </is>
      </c>
    </row>
    <row r="13" ht="46" customHeight="1">
      <c r="B13" s="66" t="n">
        <v>1</v>
      </c>
      <c r="D13" s="67" t="n"/>
      <c r="E13" s="67" t="n"/>
      <c r="F13" s="67" t="n"/>
      <c r="G13" s="67" t="n"/>
      <c r="H13" s="67" t="n"/>
      <c r="I13" s="67" t="n"/>
      <c r="J13" s="67" t="n"/>
      <c r="K13" s="67" t="n"/>
      <c r="L13" s="67" t="n"/>
      <c r="M13" s="67" t="n"/>
      <c r="N13" s="67" t="n"/>
      <c r="O13" s="67" t="n"/>
      <c r="P13" s="67" t="n"/>
      <c r="Q13" s="67" t="n"/>
      <c r="R13" s="67" t="n"/>
      <c r="S13" s="67" t="n"/>
      <c r="T13" s="67" t="n"/>
      <c r="U13" s="67" t="n"/>
      <c r="V13" s="67" t="n"/>
      <c r="W13" s="67" t="n"/>
    </row>
    <row r="14" ht="46" customHeight="1">
      <c r="B14" s="66" t="n">
        <v>2</v>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row>
    <row r="15" ht="46" customHeight="1">
      <c r="B15" s="66" t="n">
        <v>3</v>
      </c>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row>
    <row r="17" ht="21" customHeight="1">
      <c r="B17" s="25" t="inlineStr">
        <is>
          <t>C  ·  HOW YOUR PRODUCT WORKS      C1 capacity · C2 assignment · C3 readiness · C4 the week · C5 recovery · C6 downtime · C7 the patient</t>
        </is>
      </c>
    </row>
    <row r="18" ht="46" customHeight="1">
      <c r="B18" s="66" t="n">
        <v>1</v>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row>
    <row r="19" ht="46" customHeight="1">
      <c r="B19" s="66" t="n">
        <v>2</v>
      </c>
      <c r="D19" s="67" t="n"/>
      <c r="E19" s="67" t="n"/>
      <c r="F19" s="67" t="n"/>
      <c r="G19" s="67" t="n"/>
      <c r="H19" s="67" t="n"/>
      <c r="I19" s="67" t="n"/>
      <c r="J19" s="67" t="n"/>
      <c r="K19" s="67" t="n"/>
      <c r="L19" s="67" t="n"/>
      <c r="M19" s="67" t="n"/>
      <c r="N19" s="67" t="n"/>
      <c r="O19" s="67" t="n"/>
      <c r="P19" s="67" t="n"/>
      <c r="Q19" s="67" t="n"/>
      <c r="R19" s="67" t="n"/>
      <c r="S19" s="67" t="n"/>
      <c r="T19" s="67" t="n"/>
      <c r="U19" s="67" t="n"/>
      <c r="V19" s="67" t="n"/>
      <c r="W19" s="67" t="n"/>
    </row>
    <row r="20" ht="46" customHeight="1">
      <c r="B20" s="66" t="n">
        <v>3</v>
      </c>
      <c r="D20" s="67" t="n"/>
      <c r="E20" s="67" t="n"/>
      <c r="F20" s="67" t="n"/>
      <c r="G20" s="67" t="n"/>
      <c r="H20" s="67" t="n"/>
      <c r="I20" s="67" t="n"/>
      <c r="J20" s="67" t="n"/>
      <c r="K20" s="67" t="n"/>
      <c r="L20" s="67" t="n"/>
      <c r="M20" s="67" t="n"/>
      <c r="N20" s="67" t="n"/>
      <c r="O20" s="67" t="n"/>
      <c r="P20" s="67" t="n"/>
      <c r="Q20" s="67" t="n"/>
      <c r="R20" s="67" t="n"/>
      <c r="S20" s="67" t="n"/>
      <c r="T20" s="67" t="n"/>
      <c r="U20" s="67" t="n"/>
      <c r="V20" s="67" t="n"/>
      <c r="W20" s="67" t="n"/>
    </row>
    <row r="22" ht="21" customHeight="1">
      <c r="B22" s="25" t="inlineStr">
        <is>
          <t>D  ·  THE CLINICIAN'S PLACE      D1 what they decide · D2 decide or advise · D3 adoption</t>
        </is>
      </c>
    </row>
    <row r="23" ht="46" customHeight="1">
      <c r="B23" s="66" t="n">
        <v>1</v>
      </c>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row>
    <row r="24" ht="46" customHeight="1">
      <c r="B24" s="66" t="n">
        <v>2</v>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row>
    <row r="25" ht="46" customHeight="1">
      <c r="B25" s="66" t="n">
        <v>3</v>
      </c>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row>
    <row r="27" ht="21" customHeight="1">
      <c r="B27" s="25" t="inlineStr">
        <is>
          <t>E  ·  FIT AND PARTNERSHIP      E1 what we did not ask · E2 sharing the value · E3 change management · E4 what they chose not to build</t>
        </is>
      </c>
    </row>
    <row r="28" ht="46" customHeight="1">
      <c r="B28" s="66" t="n">
        <v>1</v>
      </c>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row>
    <row r="29" ht="46" customHeight="1">
      <c r="B29" s="66" t="n">
        <v>2</v>
      </c>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row>
    <row r="30" ht="46" customHeight="1">
      <c r="B30" s="66" t="n">
        <v>3</v>
      </c>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row>
    <row r="32" ht="21" customHeight="1">
      <c r="B32" s="25" t="inlineStr">
        <is>
          <t>INTANGIBLES      anything the feel section raised that a demo could settle</t>
        </is>
      </c>
    </row>
    <row r="33" ht="46" customHeight="1">
      <c r="B33" s="66" t="n">
        <v>1</v>
      </c>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row>
    <row r="34" ht="46" customHeight="1">
      <c r="B34" s="66" t="n">
        <v>2</v>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row>
    <row r="35" ht="46" customHeight="1">
      <c r="B35" s="66" t="n">
        <v>3</v>
      </c>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row>
  </sheetData>
  <mergeCells count="7">
    <mergeCell ref="B3:W3"/>
    <mergeCell ref="B27:W27"/>
    <mergeCell ref="B22:W22"/>
    <mergeCell ref="B32:W32"/>
    <mergeCell ref="B17:W17"/>
    <mergeCell ref="B12:W12"/>
    <mergeCell ref="B7:W7"/>
  </mergeCell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sheetPr>
  <dimension ref="B1:K7"/>
  <sheetViews>
    <sheetView tabSelected="0"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51" t="inlineStr">
        <is>
          <t>A1 rung</t>
        </is>
      </c>
      <c r="C1" s="51" t="inlineStr">
        <is>
          <t>Points</t>
        </is>
      </c>
      <c r="E1" s="51" t="inlineStr">
        <is>
          <t>Scope</t>
        </is>
      </c>
      <c r="G1" s="51" t="inlineStr">
        <is>
          <t>Sophistication</t>
        </is>
      </c>
      <c r="I1" s="51" t="inlineStr">
        <is>
          <t>Clinician</t>
        </is>
      </c>
      <c r="K1" s="5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Standard customer relationship</t>
        </is>
      </c>
    </row>
    <row r="4">
      <c r="B4" t="inlineStr">
        <is>
          <t>Live — through a partner</t>
        </is>
      </c>
      <c r="C4" t="n">
        <v>12</v>
      </c>
      <c r="E4" t="inlineStr">
        <is>
          <t>2 — About half</t>
        </is>
      </c>
      <c r="G4" t="inlineStr">
        <is>
          <t>2 — Checks it</t>
        </is>
      </c>
      <c r="I4" t="inlineStr">
        <is>
          <t>2 — Workable</t>
        </is>
      </c>
      <c r="K4" t="inlineStr">
        <is>
          <t>2 — Takes our input; they own the roadmap</t>
        </is>
      </c>
    </row>
    <row r="5">
      <c r="B5" t="inlineStr">
        <is>
          <t>In development — with a date</t>
        </is>
      </c>
      <c r="C5" t="n">
        <v>6</v>
      </c>
      <c r="E5" t="inlineStr">
        <is>
          <t>3 — More than half</t>
        </is>
      </c>
      <c r="G5" t="inlineStr">
        <is>
          <t>3 — Recommends it</t>
        </is>
      </c>
      <c r="I5" t="inlineStr">
        <is>
          <t>3 — Good fit</t>
        </is>
      </c>
      <c r="K5" t="inlineStr">
        <is>
          <t>3 — Builds to our needs; ownership unaddressed</t>
        </is>
      </c>
    </row>
    <row r="6">
      <c r="B6" t="inlineStr">
        <is>
          <t>On the roadmap — no date</t>
        </is>
      </c>
      <c r="C6" t="n">
        <v>2</v>
      </c>
      <c r="E6" t="inlineStr">
        <is>
          <t>4 — Most of it</t>
        </is>
      </c>
      <c r="G6" t="inlineStr">
        <is>
          <t>4 — Runs it</t>
        </is>
      </c>
      <c r="I6" t="inlineStr">
        <is>
          <t>4 — Strong fit</t>
        </is>
      </c>
      <c r="K6" t="inlineStr">
        <is>
          <t>4 — Open to equity, and set up to build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2026-09-04T03:04:03Z</dcterms:created>
  <dcterms:modified xsi:type="dcterms:W3CDTF">2026-09-04T03:04:03Z</dcterms:modified>
</cp:coreProperties>
</file>