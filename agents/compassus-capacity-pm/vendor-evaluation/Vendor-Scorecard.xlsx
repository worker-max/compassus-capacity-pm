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Entry" sheetId="1" state="visible" r:id="rId1"/>
    <sheet name="Guide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4">
    <font>
      <name val="Calibri"/>
      <family val="2"/>
      <color theme="1"/>
      <sz val="11"/>
      <scheme val="minor"/>
    </font>
    <font>
      <name val="Aptos Narrow"/>
      <b val="1"/>
      <color rgb="005A6560"/>
      <sz val="9"/>
    </font>
    <font>
      <name val="Aptos Narrow"/>
      <b val="1"/>
      <color rgb="001B211E"/>
      <sz val="18"/>
    </font>
    <font>
      <name val="Aptos Narrow"/>
      <i val="1"/>
      <color rgb="005A6560"/>
      <sz val="9"/>
    </font>
    <font>
      <name val="Aptos Narrow"/>
      <b val="1"/>
      <color rgb="001B211E"/>
      <sz val="10"/>
    </font>
    <font>
      <name val="Aptos Narrow"/>
      <b val="1"/>
      <color rgb="00FFFFFF"/>
      <sz val="10"/>
    </font>
    <font>
      <name val="Aptos Narrow"/>
      <b val="1"/>
      <color rgb="00C6A01F"/>
      <sz val="10"/>
    </font>
    <font>
      <name val="Aptos Narrow"/>
      <color rgb="005A6560"/>
      <sz val="9"/>
    </font>
    <font>
      <name val="Aptos Narrow"/>
      <color rgb="001B211E"/>
      <sz val="10"/>
    </font>
    <font>
      <name val="Aptos Narrow"/>
      <b val="1"/>
      <color rgb="001B211E"/>
      <sz val="12"/>
    </font>
    <font>
      <name val="Aptos Narrow"/>
      <b val="1"/>
      <color rgb="005A6560"/>
      <sz val="10"/>
    </font>
    <font>
      <name val="Aptos Narrow"/>
      <color rgb="001F6F78"/>
      <sz val="10"/>
    </font>
    <font>
      <name val="Aptos Narrow"/>
      <color rgb="002E599D"/>
      <sz val="10"/>
    </font>
    <font>
      <name val="Aptos Narrow"/>
      <color rgb="004E8A5B"/>
      <sz val="10"/>
    </font>
    <font>
      <name val="Aptos Narrow"/>
      <b val="1"/>
      <color rgb="00FFFFFF"/>
      <sz val="9"/>
    </font>
    <font>
      <name val="Aptos Narrow"/>
      <color rgb="001B211E"/>
      <sz val="9"/>
    </font>
    <font>
      <name val="Aptos Narrow"/>
      <b val="1"/>
      <color rgb="001F6F78"/>
      <sz val="9"/>
    </font>
    <font>
      <name val="Aptos Narrow"/>
      <b val="1"/>
      <color rgb="002E599D"/>
      <sz val="9"/>
    </font>
    <font>
      <name val="Aptos Narrow"/>
      <b val="1"/>
      <color rgb="004E8A5B"/>
      <sz val="9"/>
    </font>
    <font>
      <name val="Aptos Narrow"/>
      <b val="1"/>
      <color rgb="00792E2E"/>
      <sz val="10"/>
    </font>
    <font>
      <name val="Aptos Narrow"/>
      <i val="1"/>
      <color rgb="005A6560"/>
      <sz val="8"/>
    </font>
    <font>
      <name val="Aptos Narrow"/>
      <b val="1"/>
      <color rgb="001B211E"/>
      <sz val="14"/>
    </font>
    <font>
      <name val="Aptos Narrow"/>
      <b val="1"/>
      <color rgb="00792E2E"/>
      <sz val="9"/>
    </font>
    <font>
      <name val="Aptos Narrow"/>
      <i val="1"/>
      <color rgb="005A6560"/>
      <sz val="10"/>
    </font>
  </fonts>
  <fills count="14">
    <fill>
      <patternFill/>
    </fill>
    <fill>
      <patternFill patternType="gray125"/>
    </fill>
    <fill>
      <patternFill patternType="solid">
        <fgColor rgb="00FBFBF8"/>
      </patternFill>
    </fill>
    <fill>
      <patternFill patternType="solid">
        <fgColor rgb="001B211E"/>
      </patternFill>
    </fill>
    <fill>
      <patternFill patternType="solid">
        <fgColor rgb="00C6A01F"/>
      </patternFill>
    </fill>
    <fill>
      <patternFill patternType="solid">
        <fgColor rgb="001F6F78"/>
      </patternFill>
    </fill>
    <fill>
      <patternFill patternType="solid">
        <fgColor rgb="00E9E9E5"/>
      </patternFill>
    </fill>
    <fill>
      <patternFill patternType="solid">
        <fgColor rgb="002E599D"/>
      </patternFill>
    </fill>
    <fill>
      <patternFill patternType="solid">
        <fgColor rgb="004E8A5B"/>
      </patternFill>
    </fill>
    <fill>
      <patternFill patternType="solid">
        <fgColor rgb="00792E2E"/>
      </patternFill>
    </fill>
    <fill>
      <patternFill patternType="solid">
        <fgColor rgb="00E4EFF0"/>
      </patternFill>
    </fill>
    <fill>
      <patternFill patternType="solid">
        <fgColor rgb="00E6EBF3"/>
      </patternFill>
    </fill>
    <fill>
      <patternFill patternType="solid">
        <fgColor rgb="00E8F0EA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bottom style="medium">
        <color rgb="001B211E"/>
      </bottom>
    </border>
    <border>
      <left style="thin">
        <color rgb="00C9CCC5"/>
      </left>
      <right style="thin">
        <color rgb="00C9CCC5"/>
      </right>
      <top style="thin">
        <color rgb="00C9CCC5"/>
      </top>
      <bottom style="thin">
        <color rgb="00C9CCC5"/>
      </bottom>
    </border>
    <border>
      <left style="thin">
        <color rgb="00C9CCC5"/>
      </left>
      <right style="thin">
        <color rgb="00C9CCC5"/>
      </right>
      <top style="medium">
        <color rgb="001B211E"/>
      </top>
      <bottom style="medium">
        <color rgb="001B211E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4" fillId="2" borderId="1" applyAlignment="1" pivotButton="0" quotePrefix="0" xfId="0">
      <alignment horizontal="center" vertical="bottom" wrapText="1"/>
    </xf>
    <xf numFmtId="0" fontId="5" fillId="3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1" fontId="6" fillId="6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164" fontId="4" fillId="6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164" fontId="21" fillId="13" borderId="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22" fillId="6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9" fontId="4" fillId="6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9" fontId="7" fillId="10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  <xf numFmtId="9" fontId="7" fillId="11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9" fontId="7" fillId="12" borderId="2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indent="1"/>
    </xf>
    <xf numFmtId="0" fontId="15" fillId="2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14" fillId="5" borderId="0" applyAlignment="1" pivotButton="0" quotePrefix="0" xfId="0">
      <alignment horizontal="left" vertical="center" indent="1"/>
    </xf>
    <xf numFmtId="0" fontId="1" fillId="6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right" vertical="center"/>
    </xf>
    <xf numFmtId="0" fontId="0" fillId="6" borderId="0" pivotButton="0" quotePrefix="0" xfId="0"/>
    <xf numFmtId="0" fontId="15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right" vertical="center"/>
    </xf>
    <xf numFmtId="0" fontId="14" fillId="7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right" vertical="center"/>
    </xf>
    <xf numFmtId="0" fontId="14" fillId="8" borderId="0" applyAlignment="1" pivotButton="0" quotePrefix="0" xfId="0">
      <alignment horizontal="left" vertical="center" indent="1"/>
    </xf>
    <xf numFmtId="0" fontId="18" fillId="0" borderId="0" applyAlignment="1" pivotButton="0" quotePrefix="0" xfId="0">
      <alignment horizontal="right" vertical="center"/>
    </xf>
    <xf numFmtId="0" fontId="5" fillId="9" borderId="0" applyAlignment="1" pivotButton="0" quotePrefix="0" xfId="0">
      <alignment horizontal="left" vertical="center" indent="1"/>
    </xf>
    <xf numFmtId="0" fontId="19" fillId="0" borderId="0" applyAlignment="1" pivotButton="0" quotePrefix="0" xfId="0">
      <alignment horizontal="left" vertical="top" wrapText="1"/>
    </xf>
    <xf numFmtId="0" fontId="20" fillId="0" borderId="0" applyAlignment="1" pivotButton="0" quotePrefix="0" xfId="0">
      <alignment horizontal="left" vertical="top" wrapText="1"/>
    </xf>
    <xf numFmtId="0" fontId="15" fillId="2" borderId="2" applyAlignment="1" pivotButton="0" quotePrefix="0" xfId="0">
      <alignment horizontal="left" vertical="top" wrapText="1"/>
    </xf>
    <xf numFmtId="0" fontId="23" fillId="0" borderId="0" pivotButton="0" quotePrefix="0" xfId="0"/>
    <xf numFmtId="0" fontId="14" fillId="3" borderId="0" applyAlignment="1" pivotButton="0" quotePrefix="0" xfId="0">
      <alignment horizontal="left" vertical="center" indent="1"/>
    </xf>
    <xf numFmtId="0" fontId="1" fillId="6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ont>
        <b val="1"/>
        <color rgb="00FFFFFF"/>
      </font>
      <fill>
        <patternFill patternType="solid">
          <fgColor rgb="00792E2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11E"/>
    <outlinePr summaryBelow="1" summaryRight="1"/>
    <pageSetUpPr/>
  </sheetPr>
  <dimension ref="B2:S107"/>
  <sheetViews>
    <sheetView showGridLines="0" zoomScale="9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6" customWidth="1" min="2" max="2"/>
    <col width="2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8" customHeight="1"/>
    <row r="2">
      <c r="B2" s="1" t="inlineStr">
        <is>
          <t>COMPASSUS  ·  HOME HEALTH</t>
        </is>
      </c>
    </row>
    <row r="3" ht="26" customHeight="1">
      <c r="B3" s="2" t="inlineStr">
        <is>
          <t>Capacity &amp; Scheduling — Vendor Scorecard</t>
        </is>
      </c>
    </row>
    <row r="4">
      <c r="B4" s="3" t="inlineStr">
        <is>
          <t>Rubric v1.0 · 41 spec elements · questionnaire form_version 2026-08-19. Score in the white cells only — every grey cell is a formula.</t>
        </is>
      </c>
    </row>
    <row r="6" ht="44" customHeight="1">
      <c r="B6" s="4" t="inlineStr">
        <is>
          <t>VENDOR</t>
        </is>
      </c>
      <c r="C6" t="inlineStr"/>
      <c r="D6" s="5" t="inlineStr">
        <is>
          <t>Vendor 01</t>
        </is>
      </c>
      <c r="E6" s="5" t="inlineStr">
        <is>
          <t>Vendor 02</t>
        </is>
      </c>
      <c r="F6" s="5" t="inlineStr">
        <is>
          <t>Vendor 03</t>
        </is>
      </c>
      <c r="G6" s="5" t="inlineStr">
        <is>
          <t>Vendor 04</t>
        </is>
      </c>
      <c r="H6" s="5" t="inlineStr">
        <is>
          <t>Vendor 05</t>
        </is>
      </c>
      <c r="I6" s="5" t="inlineStr">
        <is>
          <t>Vendor 06</t>
        </is>
      </c>
      <c r="J6" s="5" t="inlineStr">
        <is>
          <t>Vendor 07</t>
        </is>
      </c>
      <c r="K6" s="5" t="inlineStr">
        <is>
          <t>Vendor 08</t>
        </is>
      </c>
      <c r="L6" s="5" t="inlineStr">
        <is>
          <t>Vendor 09</t>
        </is>
      </c>
      <c r="M6" s="5" t="inlineStr">
        <is>
          <t>Vendor 10</t>
        </is>
      </c>
      <c r="N6" s="5" t="inlineStr">
        <is>
          <t>Vendor 11</t>
        </is>
      </c>
      <c r="O6" s="5" t="inlineStr">
        <is>
          <t>Vendor 12</t>
        </is>
      </c>
      <c r="P6" s="5" t="inlineStr">
        <is>
          <t>Vendor 13</t>
        </is>
      </c>
      <c r="Q6" s="5" t="inlineStr">
        <is>
          <t>Vendor 14</t>
        </is>
      </c>
      <c r="R6" s="5" t="inlineStr">
        <is>
          <t>Vendor 15</t>
        </is>
      </c>
      <c r="S6" s="5" t="inlineStr">
        <is>
          <t>Vendor 16</t>
        </is>
      </c>
    </row>
    <row r="8" ht="22" customHeight="1">
      <c r="B8" s="6" t="inlineStr">
        <is>
          <t>SCORE</t>
        </is>
      </c>
    </row>
    <row r="9" ht="17" customHeight="1">
      <c r="B9" s="7" t="inlineStr">
        <is>
          <t>1 · HCHB Integration</t>
        </is>
      </c>
      <c r="C9" s="8" t="inlineStr">
        <is>
          <t>of 25</t>
        </is>
      </c>
      <c r="D9" s="9">
        <f>IFERROR(MIN(VLOOKUP(D23,Lists!$B$2:$C$7,2,FALSE),IF(D24="No",20,25)),0)</f>
        <v/>
      </c>
      <c r="E9" s="9">
        <f>IFERROR(MIN(VLOOKUP(E23,Lists!$B$2:$C$7,2,FALSE),IF(E24="No",20,25)),0)</f>
        <v/>
      </c>
      <c r="F9" s="9">
        <f>IFERROR(MIN(VLOOKUP(F23,Lists!$B$2:$C$7,2,FALSE),IF(F24="No",20,25)),0)</f>
        <v/>
      </c>
      <c r="G9" s="9">
        <f>IFERROR(MIN(VLOOKUP(G23,Lists!$B$2:$C$7,2,FALSE),IF(G24="No",20,25)),0)</f>
        <v/>
      </c>
      <c r="H9" s="9">
        <f>IFERROR(MIN(VLOOKUP(H23,Lists!$B$2:$C$7,2,FALSE),IF(H24="No",20,25)),0)</f>
        <v/>
      </c>
      <c r="I9" s="9">
        <f>IFERROR(MIN(VLOOKUP(I23,Lists!$B$2:$C$7,2,FALSE),IF(I24="No",20,25)),0)</f>
        <v/>
      </c>
      <c r="J9" s="9">
        <f>IFERROR(MIN(VLOOKUP(J23,Lists!$B$2:$C$7,2,FALSE),IF(J24="No",20,25)),0)</f>
        <v/>
      </c>
      <c r="K9" s="9">
        <f>IFERROR(MIN(VLOOKUP(K23,Lists!$B$2:$C$7,2,FALSE),IF(K24="No",20,25)),0)</f>
        <v/>
      </c>
      <c r="L9" s="9">
        <f>IFERROR(MIN(VLOOKUP(L23,Lists!$B$2:$C$7,2,FALSE),IF(L24="No",20,25)),0)</f>
        <v/>
      </c>
      <c r="M9" s="9">
        <f>IFERROR(MIN(VLOOKUP(M23,Lists!$B$2:$C$7,2,FALSE),IF(M24="No",20,25)),0)</f>
        <v/>
      </c>
      <c r="N9" s="9">
        <f>IFERROR(MIN(VLOOKUP(N23,Lists!$B$2:$C$7,2,FALSE),IF(N24="No",20,25)),0)</f>
        <v/>
      </c>
      <c r="O9" s="9">
        <f>IFERROR(MIN(VLOOKUP(O23,Lists!$B$2:$C$7,2,FALSE),IF(O24="No",20,25)),0)</f>
        <v/>
      </c>
      <c r="P9" s="9">
        <f>IFERROR(MIN(VLOOKUP(P23,Lists!$B$2:$C$7,2,FALSE),IF(P24="No",20,25)),0)</f>
        <v/>
      </c>
      <c r="Q9" s="9">
        <f>IFERROR(MIN(VLOOKUP(Q23,Lists!$B$2:$C$7,2,FALSE),IF(Q24="No",20,25)),0)</f>
        <v/>
      </c>
      <c r="R9" s="9">
        <f>IFERROR(MIN(VLOOKUP(R23,Lists!$B$2:$C$7,2,FALSE),IF(R24="No",20,25)),0)</f>
        <v/>
      </c>
      <c r="S9" s="9">
        <f>IFERROR(MIN(VLOOKUP(S23,Lists!$B$2:$C$7,2,FALSE),IF(S24="No",20,25)),0)</f>
        <v/>
      </c>
    </row>
    <row r="10" ht="17" customHeight="1">
      <c r="B10" s="10" t="inlineStr">
        <is>
          <t>2 · Scope Footprint</t>
        </is>
      </c>
      <c r="C10" s="8" t="inlineStr">
        <is>
          <t>of 30</t>
        </is>
      </c>
      <c r="D10" s="11">
        <f>D18*10+D19*10+D20*10</f>
        <v/>
      </c>
      <c r="E10" s="11">
        <f>E18*10+E19*10+E20*10</f>
        <v/>
      </c>
      <c r="F10" s="11">
        <f>F18*10+F19*10+F20*10</f>
        <v/>
      </c>
      <c r="G10" s="11">
        <f>G18*10+G19*10+G20*10</f>
        <v/>
      </c>
      <c r="H10" s="11">
        <f>H18*10+H19*10+H20*10</f>
        <v/>
      </c>
      <c r="I10" s="11">
        <f>I18*10+I19*10+I20*10</f>
        <v/>
      </c>
      <c r="J10" s="11">
        <f>J18*10+J19*10+J20*10</f>
        <v/>
      </c>
      <c r="K10" s="11">
        <f>K18*10+K19*10+K20*10</f>
        <v/>
      </c>
      <c r="L10" s="11">
        <f>L18*10+L19*10+L20*10</f>
        <v/>
      </c>
      <c r="M10" s="11">
        <f>M18*10+M19*10+M20*10</f>
        <v/>
      </c>
      <c r="N10" s="11">
        <f>N18*10+N19*10+N20*10</f>
        <v/>
      </c>
      <c r="O10" s="11">
        <f>O18*10+O19*10+O20*10</f>
        <v/>
      </c>
      <c r="P10" s="11">
        <f>P18*10+P19*10+P20*10</f>
        <v/>
      </c>
      <c r="Q10" s="11">
        <f>Q18*10+Q19*10+Q20*10</f>
        <v/>
      </c>
      <c r="R10" s="11">
        <f>R18*10+R19*10+R20*10</f>
        <v/>
      </c>
      <c r="S10" s="11">
        <f>S18*10+S19*10+S20*10</f>
        <v/>
      </c>
    </row>
    <row r="11" ht="17" customHeight="1">
      <c r="B11" s="10" t="inlineStr">
        <is>
          <t>3 · Sophistication</t>
        </is>
      </c>
      <c r="C11" s="8" t="inlineStr">
        <is>
          <t>of 20</t>
        </is>
      </c>
      <c r="D11" s="11">
        <f>(IFERROR(VALUE(LEFT(D87,1)),0)+IFERROR(VALUE(LEFT(D88,1)),0)+IFERROR(VALUE(LEFT(D89,1)),0)+IFERROR(VALUE(LEFT(D90,1)),0)+IFERROR(VALUE(LEFT(D91,1)),0))/20*20</f>
        <v/>
      </c>
      <c r="E11" s="11">
        <f>(IFERROR(VALUE(LEFT(E87,1)),0)+IFERROR(VALUE(LEFT(E88,1)),0)+IFERROR(VALUE(LEFT(E89,1)),0)+IFERROR(VALUE(LEFT(E90,1)),0)+IFERROR(VALUE(LEFT(E91,1)),0))/20*20</f>
        <v/>
      </c>
      <c r="F11" s="11">
        <f>(IFERROR(VALUE(LEFT(F87,1)),0)+IFERROR(VALUE(LEFT(F88,1)),0)+IFERROR(VALUE(LEFT(F89,1)),0)+IFERROR(VALUE(LEFT(F90,1)),0)+IFERROR(VALUE(LEFT(F91,1)),0))/20*20</f>
        <v/>
      </c>
      <c r="G11" s="11">
        <f>(IFERROR(VALUE(LEFT(G87,1)),0)+IFERROR(VALUE(LEFT(G88,1)),0)+IFERROR(VALUE(LEFT(G89,1)),0)+IFERROR(VALUE(LEFT(G90,1)),0)+IFERROR(VALUE(LEFT(G91,1)),0))/20*20</f>
        <v/>
      </c>
      <c r="H11" s="11">
        <f>(IFERROR(VALUE(LEFT(H87,1)),0)+IFERROR(VALUE(LEFT(H88,1)),0)+IFERROR(VALUE(LEFT(H89,1)),0)+IFERROR(VALUE(LEFT(H90,1)),0)+IFERROR(VALUE(LEFT(H91,1)),0))/20*20</f>
        <v/>
      </c>
      <c r="I11" s="11">
        <f>(IFERROR(VALUE(LEFT(I87,1)),0)+IFERROR(VALUE(LEFT(I88,1)),0)+IFERROR(VALUE(LEFT(I89,1)),0)+IFERROR(VALUE(LEFT(I90,1)),0)+IFERROR(VALUE(LEFT(I91,1)),0))/20*20</f>
        <v/>
      </c>
      <c r="J11" s="11">
        <f>(IFERROR(VALUE(LEFT(J87,1)),0)+IFERROR(VALUE(LEFT(J88,1)),0)+IFERROR(VALUE(LEFT(J89,1)),0)+IFERROR(VALUE(LEFT(J90,1)),0)+IFERROR(VALUE(LEFT(J91,1)),0))/20*20</f>
        <v/>
      </c>
      <c r="K11" s="11">
        <f>(IFERROR(VALUE(LEFT(K87,1)),0)+IFERROR(VALUE(LEFT(K88,1)),0)+IFERROR(VALUE(LEFT(K89,1)),0)+IFERROR(VALUE(LEFT(K90,1)),0)+IFERROR(VALUE(LEFT(K91,1)),0))/20*20</f>
        <v/>
      </c>
      <c r="L11" s="11">
        <f>(IFERROR(VALUE(LEFT(L87,1)),0)+IFERROR(VALUE(LEFT(L88,1)),0)+IFERROR(VALUE(LEFT(L89,1)),0)+IFERROR(VALUE(LEFT(L90,1)),0)+IFERROR(VALUE(LEFT(L91,1)),0))/20*20</f>
        <v/>
      </c>
      <c r="M11" s="11">
        <f>(IFERROR(VALUE(LEFT(M87,1)),0)+IFERROR(VALUE(LEFT(M88,1)),0)+IFERROR(VALUE(LEFT(M89,1)),0)+IFERROR(VALUE(LEFT(M90,1)),0)+IFERROR(VALUE(LEFT(M91,1)),0))/20*20</f>
        <v/>
      </c>
      <c r="N11" s="11">
        <f>(IFERROR(VALUE(LEFT(N87,1)),0)+IFERROR(VALUE(LEFT(N88,1)),0)+IFERROR(VALUE(LEFT(N89,1)),0)+IFERROR(VALUE(LEFT(N90,1)),0)+IFERROR(VALUE(LEFT(N91,1)),0))/20*20</f>
        <v/>
      </c>
      <c r="O11" s="11">
        <f>(IFERROR(VALUE(LEFT(O87,1)),0)+IFERROR(VALUE(LEFT(O88,1)),0)+IFERROR(VALUE(LEFT(O89,1)),0)+IFERROR(VALUE(LEFT(O90,1)),0)+IFERROR(VALUE(LEFT(O91,1)),0))/20*20</f>
        <v/>
      </c>
      <c r="P11" s="11">
        <f>(IFERROR(VALUE(LEFT(P87,1)),0)+IFERROR(VALUE(LEFT(P88,1)),0)+IFERROR(VALUE(LEFT(P89,1)),0)+IFERROR(VALUE(LEFT(P90,1)),0)+IFERROR(VALUE(LEFT(P91,1)),0))/20*20</f>
        <v/>
      </c>
      <c r="Q11" s="11">
        <f>(IFERROR(VALUE(LEFT(Q87,1)),0)+IFERROR(VALUE(LEFT(Q88,1)),0)+IFERROR(VALUE(LEFT(Q89,1)),0)+IFERROR(VALUE(LEFT(Q90,1)),0)+IFERROR(VALUE(LEFT(Q91,1)),0))/20*20</f>
        <v/>
      </c>
      <c r="R11" s="11">
        <f>(IFERROR(VALUE(LEFT(R87,1)),0)+IFERROR(VALUE(LEFT(R88,1)),0)+IFERROR(VALUE(LEFT(R89,1)),0)+IFERROR(VALUE(LEFT(R90,1)),0)+IFERROR(VALUE(LEFT(R91,1)),0))/20*20</f>
        <v/>
      </c>
      <c r="S11" s="11">
        <f>(IFERROR(VALUE(LEFT(S87,1)),0)+IFERROR(VALUE(LEFT(S88,1)),0)+IFERROR(VALUE(LEFT(S89,1)),0)+IFERROR(VALUE(LEFT(S90,1)),0)+IFERROR(VALUE(LEFT(S91,1)),0))/20*20</f>
        <v/>
      </c>
    </row>
    <row r="12" ht="17" customHeight="1">
      <c r="B12" s="10" t="inlineStr">
        <is>
          <t>4 · Clinician &amp; Adoption</t>
        </is>
      </c>
      <c r="C12" s="8" t="inlineStr">
        <is>
          <t>of 10</t>
        </is>
      </c>
      <c r="D12" s="11">
        <f>(IFERROR(VALUE(LEFT(D94,1)),0)+IFERROR(VALUE(LEFT(D95,1)),0)+IFERROR(VALUE(LEFT(D96,1)),0))/12*10</f>
        <v/>
      </c>
      <c r="E12" s="11">
        <f>(IFERROR(VALUE(LEFT(E94,1)),0)+IFERROR(VALUE(LEFT(E95,1)),0)+IFERROR(VALUE(LEFT(E96,1)),0))/12*10</f>
        <v/>
      </c>
      <c r="F12" s="11">
        <f>(IFERROR(VALUE(LEFT(F94,1)),0)+IFERROR(VALUE(LEFT(F95,1)),0)+IFERROR(VALUE(LEFT(F96,1)),0))/12*10</f>
        <v/>
      </c>
      <c r="G12" s="11">
        <f>(IFERROR(VALUE(LEFT(G94,1)),0)+IFERROR(VALUE(LEFT(G95,1)),0)+IFERROR(VALUE(LEFT(G96,1)),0))/12*10</f>
        <v/>
      </c>
      <c r="H12" s="11">
        <f>(IFERROR(VALUE(LEFT(H94,1)),0)+IFERROR(VALUE(LEFT(H95,1)),0)+IFERROR(VALUE(LEFT(H96,1)),0))/12*10</f>
        <v/>
      </c>
      <c r="I12" s="11">
        <f>(IFERROR(VALUE(LEFT(I94,1)),0)+IFERROR(VALUE(LEFT(I95,1)),0)+IFERROR(VALUE(LEFT(I96,1)),0))/12*10</f>
        <v/>
      </c>
      <c r="J12" s="11">
        <f>(IFERROR(VALUE(LEFT(J94,1)),0)+IFERROR(VALUE(LEFT(J95,1)),0)+IFERROR(VALUE(LEFT(J96,1)),0))/12*10</f>
        <v/>
      </c>
      <c r="K12" s="11">
        <f>(IFERROR(VALUE(LEFT(K94,1)),0)+IFERROR(VALUE(LEFT(K95,1)),0)+IFERROR(VALUE(LEFT(K96,1)),0))/12*10</f>
        <v/>
      </c>
      <c r="L12" s="11">
        <f>(IFERROR(VALUE(LEFT(L94,1)),0)+IFERROR(VALUE(LEFT(L95,1)),0)+IFERROR(VALUE(LEFT(L96,1)),0))/12*10</f>
        <v/>
      </c>
      <c r="M12" s="11">
        <f>(IFERROR(VALUE(LEFT(M94,1)),0)+IFERROR(VALUE(LEFT(M95,1)),0)+IFERROR(VALUE(LEFT(M96,1)),0))/12*10</f>
        <v/>
      </c>
      <c r="N12" s="11">
        <f>(IFERROR(VALUE(LEFT(N94,1)),0)+IFERROR(VALUE(LEFT(N95,1)),0)+IFERROR(VALUE(LEFT(N96,1)),0))/12*10</f>
        <v/>
      </c>
      <c r="O12" s="11">
        <f>(IFERROR(VALUE(LEFT(O94,1)),0)+IFERROR(VALUE(LEFT(O95,1)),0)+IFERROR(VALUE(LEFT(O96,1)),0))/12*10</f>
        <v/>
      </c>
      <c r="P12" s="11">
        <f>(IFERROR(VALUE(LEFT(P94,1)),0)+IFERROR(VALUE(LEFT(P95,1)),0)+IFERROR(VALUE(LEFT(P96,1)),0))/12*10</f>
        <v/>
      </c>
      <c r="Q12" s="11">
        <f>(IFERROR(VALUE(LEFT(Q94,1)),0)+IFERROR(VALUE(LEFT(Q95,1)),0)+IFERROR(VALUE(LEFT(Q96,1)),0))/12*10</f>
        <v/>
      </c>
      <c r="R12" s="11">
        <f>(IFERROR(VALUE(LEFT(R94,1)),0)+IFERROR(VALUE(LEFT(R95,1)),0)+IFERROR(VALUE(LEFT(R96,1)),0))/12*10</f>
        <v/>
      </c>
      <c r="S12" s="11">
        <f>(IFERROR(VALUE(LEFT(S94,1)),0)+IFERROR(VALUE(LEFT(S95,1)),0)+IFERROR(VALUE(LEFT(S96,1)),0))/12*10</f>
        <v/>
      </c>
    </row>
    <row r="13" ht="17" customHeight="1">
      <c r="B13" s="10" t="inlineStr">
        <is>
          <t>5 · Partnership</t>
        </is>
      </c>
      <c r="C13" s="8" t="inlineStr">
        <is>
          <t>of 15</t>
        </is>
      </c>
      <c r="D13" s="11">
        <f>(IFERROR(VALUE(LEFT(D99,1)),0)+IFERROR(VALUE(LEFT(D100,1)),0)+IFERROR(VALUE(LEFT(D101,1)),0)+IFERROR(VALUE(LEFT(D102,1)),0))/16*15</f>
        <v/>
      </c>
      <c r="E13" s="11">
        <f>(IFERROR(VALUE(LEFT(E99,1)),0)+IFERROR(VALUE(LEFT(E100,1)),0)+IFERROR(VALUE(LEFT(E101,1)),0)+IFERROR(VALUE(LEFT(E102,1)),0))/16*15</f>
        <v/>
      </c>
      <c r="F13" s="11">
        <f>(IFERROR(VALUE(LEFT(F99,1)),0)+IFERROR(VALUE(LEFT(F100,1)),0)+IFERROR(VALUE(LEFT(F101,1)),0)+IFERROR(VALUE(LEFT(F102,1)),0))/16*15</f>
        <v/>
      </c>
      <c r="G13" s="11">
        <f>(IFERROR(VALUE(LEFT(G99,1)),0)+IFERROR(VALUE(LEFT(G100,1)),0)+IFERROR(VALUE(LEFT(G101,1)),0)+IFERROR(VALUE(LEFT(G102,1)),0))/16*15</f>
        <v/>
      </c>
      <c r="H13" s="11">
        <f>(IFERROR(VALUE(LEFT(H99,1)),0)+IFERROR(VALUE(LEFT(H100,1)),0)+IFERROR(VALUE(LEFT(H101,1)),0)+IFERROR(VALUE(LEFT(H102,1)),0))/16*15</f>
        <v/>
      </c>
      <c r="I13" s="11">
        <f>(IFERROR(VALUE(LEFT(I99,1)),0)+IFERROR(VALUE(LEFT(I100,1)),0)+IFERROR(VALUE(LEFT(I101,1)),0)+IFERROR(VALUE(LEFT(I102,1)),0))/16*15</f>
        <v/>
      </c>
      <c r="J13" s="11">
        <f>(IFERROR(VALUE(LEFT(J99,1)),0)+IFERROR(VALUE(LEFT(J100,1)),0)+IFERROR(VALUE(LEFT(J101,1)),0)+IFERROR(VALUE(LEFT(J102,1)),0))/16*15</f>
        <v/>
      </c>
      <c r="K13" s="11">
        <f>(IFERROR(VALUE(LEFT(K99,1)),0)+IFERROR(VALUE(LEFT(K100,1)),0)+IFERROR(VALUE(LEFT(K101,1)),0)+IFERROR(VALUE(LEFT(K102,1)),0))/16*15</f>
        <v/>
      </c>
      <c r="L13" s="11">
        <f>(IFERROR(VALUE(LEFT(L99,1)),0)+IFERROR(VALUE(LEFT(L100,1)),0)+IFERROR(VALUE(LEFT(L101,1)),0)+IFERROR(VALUE(LEFT(L102,1)),0))/16*15</f>
        <v/>
      </c>
      <c r="M13" s="11">
        <f>(IFERROR(VALUE(LEFT(M99,1)),0)+IFERROR(VALUE(LEFT(M100,1)),0)+IFERROR(VALUE(LEFT(M101,1)),0)+IFERROR(VALUE(LEFT(M102,1)),0))/16*15</f>
        <v/>
      </c>
      <c r="N13" s="11">
        <f>(IFERROR(VALUE(LEFT(N99,1)),0)+IFERROR(VALUE(LEFT(N100,1)),0)+IFERROR(VALUE(LEFT(N101,1)),0)+IFERROR(VALUE(LEFT(N102,1)),0))/16*15</f>
        <v/>
      </c>
      <c r="O13" s="11">
        <f>(IFERROR(VALUE(LEFT(O99,1)),0)+IFERROR(VALUE(LEFT(O100,1)),0)+IFERROR(VALUE(LEFT(O101,1)),0)+IFERROR(VALUE(LEFT(O102,1)),0))/16*15</f>
        <v/>
      </c>
      <c r="P13" s="11">
        <f>(IFERROR(VALUE(LEFT(P99,1)),0)+IFERROR(VALUE(LEFT(P100,1)),0)+IFERROR(VALUE(LEFT(P101,1)),0)+IFERROR(VALUE(LEFT(P102,1)),0))/16*15</f>
        <v/>
      </c>
      <c r="Q13" s="11">
        <f>(IFERROR(VALUE(LEFT(Q99,1)),0)+IFERROR(VALUE(LEFT(Q100,1)),0)+IFERROR(VALUE(LEFT(Q101,1)),0)+IFERROR(VALUE(LEFT(Q102,1)),0))/16*15</f>
        <v/>
      </c>
      <c r="R13" s="11">
        <f>(IFERROR(VALUE(LEFT(R99,1)),0)+IFERROR(VALUE(LEFT(R100,1)),0)+IFERROR(VALUE(LEFT(R101,1)),0)+IFERROR(VALUE(LEFT(R102,1)),0))/16*15</f>
        <v/>
      </c>
      <c r="S13" s="11">
        <f>(IFERROR(VALUE(LEFT(S99,1)),0)+IFERROR(VALUE(LEFT(S100,1)),0)+IFERROR(VALUE(LEFT(S101,1)),0)+IFERROR(VALUE(LEFT(S102,1)),0))/16*15</f>
        <v/>
      </c>
    </row>
    <row r="14" ht="24" customHeight="1">
      <c r="B14" s="12" t="inlineStr">
        <is>
          <t>TOTAL</t>
        </is>
      </c>
      <c r="C14" s="8" t="inlineStr">
        <is>
          <t>of 100</t>
        </is>
      </c>
      <c r="D14" s="13">
        <f>D9+D10+D11+D12+D13</f>
        <v/>
      </c>
      <c r="E14" s="13">
        <f>E9+E10+E11+E12+E13</f>
        <v/>
      </c>
      <c r="F14" s="13">
        <f>F9+F10+F11+F12+F13</f>
        <v/>
      </c>
      <c r="G14" s="13">
        <f>G9+G10+G11+G12+G13</f>
        <v/>
      </c>
      <c r="H14" s="13">
        <f>H9+H10+H11+H12+H13</f>
        <v/>
      </c>
      <c r="I14" s="13">
        <f>I9+I10+I11+I12+I13</f>
        <v/>
      </c>
      <c r="J14" s="13">
        <f>J9+J10+J11+J12+J13</f>
        <v/>
      </c>
      <c r="K14" s="13">
        <f>K9+K10+K11+K12+K13</f>
        <v/>
      </c>
      <c r="L14" s="13">
        <f>L9+L10+L11+L12+L13</f>
        <v/>
      </c>
      <c r="M14" s="13">
        <f>M9+M10+M11+M12+M13</f>
        <v/>
      </c>
      <c r="N14" s="13">
        <f>N9+N10+N11+N12+N13</f>
        <v/>
      </c>
      <c r="O14" s="13">
        <f>O9+O10+O11+O12+O13</f>
        <v/>
      </c>
      <c r="P14" s="13">
        <f>P9+P10+P11+P12+P13</f>
        <v/>
      </c>
      <c r="Q14" s="13">
        <f>Q9+Q10+Q11+Q12+Q13</f>
        <v/>
      </c>
      <c r="R14" s="13">
        <f>R9+R10+R11+R12+R13</f>
        <v/>
      </c>
      <c r="S14" s="13">
        <f>S9+S10+S11+S12+S13</f>
        <v/>
      </c>
    </row>
    <row r="15">
      <c r="B15" s="14" t="inlineStr">
        <is>
          <t>Band</t>
        </is>
      </c>
      <c r="C15" s="8" t="inlineStr">
        <is>
          <t>80 / 65 / 50</t>
        </is>
      </c>
      <c r="D15" s="15">
        <f>IF(D9&lt;12,"Conditional — ","")&amp;IF(D14&gt;=80,"Advance",IF(D14&gt;=65,"Consider",IF(D14&gt;=50,"Hold","Decline")))</f>
        <v/>
      </c>
      <c r="E15" s="15">
        <f>IF(E9&lt;12,"Conditional — ","")&amp;IF(E14&gt;=80,"Advance",IF(E14&gt;=65,"Consider",IF(E14&gt;=50,"Hold","Decline")))</f>
        <v/>
      </c>
      <c r="F15" s="15">
        <f>IF(F9&lt;12,"Conditional — ","")&amp;IF(F14&gt;=80,"Advance",IF(F14&gt;=65,"Consider",IF(F14&gt;=50,"Hold","Decline")))</f>
        <v/>
      </c>
      <c r="G15" s="15">
        <f>IF(G9&lt;12,"Conditional — ","")&amp;IF(G14&gt;=80,"Advance",IF(G14&gt;=65,"Consider",IF(G14&gt;=50,"Hold","Decline")))</f>
        <v/>
      </c>
      <c r="H15" s="15">
        <f>IF(H9&lt;12,"Conditional — ","")&amp;IF(H14&gt;=80,"Advance",IF(H14&gt;=65,"Consider",IF(H14&gt;=50,"Hold","Decline")))</f>
        <v/>
      </c>
      <c r="I15" s="15">
        <f>IF(I9&lt;12,"Conditional — ","")&amp;IF(I14&gt;=80,"Advance",IF(I14&gt;=65,"Consider",IF(I14&gt;=50,"Hold","Decline")))</f>
        <v/>
      </c>
      <c r="J15" s="15">
        <f>IF(J9&lt;12,"Conditional — ","")&amp;IF(J14&gt;=80,"Advance",IF(J14&gt;=65,"Consider",IF(J14&gt;=50,"Hold","Decline")))</f>
        <v/>
      </c>
      <c r="K15" s="15">
        <f>IF(K9&lt;12,"Conditional — ","")&amp;IF(K14&gt;=80,"Advance",IF(K14&gt;=65,"Consider",IF(K14&gt;=50,"Hold","Decline")))</f>
        <v/>
      </c>
      <c r="L15" s="15">
        <f>IF(L9&lt;12,"Conditional — ","")&amp;IF(L14&gt;=80,"Advance",IF(L14&gt;=65,"Consider",IF(L14&gt;=50,"Hold","Decline")))</f>
        <v/>
      </c>
      <c r="M15" s="15">
        <f>IF(M9&lt;12,"Conditional — ","")&amp;IF(M14&gt;=80,"Advance",IF(M14&gt;=65,"Consider",IF(M14&gt;=50,"Hold","Decline")))</f>
        <v/>
      </c>
      <c r="N15" s="15">
        <f>IF(N9&lt;12,"Conditional — ","")&amp;IF(N14&gt;=80,"Advance",IF(N14&gt;=65,"Consider",IF(N14&gt;=50,"Hold","Decline")))</f>
        <v/>
      </c>
      <c r="O15" s="15">
        <f>IF(O9&lt;12,"Conditional — ","")&amp;IF(O14&gt;=80,"Advance",IF(O14&gt;=65,"Consider",IF(O14&gt;=50,"Hold","Decline")))</f>
        <v/>
      </c>
      <c r="P15" s="15">
        <f>IF(P9&lt;12,"Conditional — ","")&amp;IF(P14&gt;=80,"Advance",IF(P14&gt;=65,"Consider",IF(P14&gt;=50,"Hold","Decline")))</f>
        <v/>
      </c>
      <c r="Q15" s="15">
        <f>IF(Q9&lt;12,"Conditional — ","")&amp;IF(Q14&gt;=80,"Advance",IF(Q14&gt;=65,"Consider",IF(Q14&gt;=50,"Hold","Decline")))</f>
        <v/>
      </c>
      <c r="R15" s="15">
        <f>IF(R9&lt;12,"Conditional — ","")&amp;IF(R14&gt;=80,"Advance",IF(R14&gt;=65,"Consider",IF(R14&gt;=50,"Hold","Decline")))</f>
        <v/>
      </c>
      <c r="S15" s="15">
        <f>IF(S9&lt;12,"Conditional — ","")&amp;IF(S14&gt;=80,"Advance",IF(S14&gt;=65,"Consider",IF(S14&gt;=50,"Hold","Decline")))</f>
        <v/>
      </c>
    </row>
    <row r="17">
      <c r="B17" s="16" t="inlineStr">
        <is>
          <t>Footprint — overall</t>
        </is>
      </c>
      <c r="D17" s="17">
        <f>(D18*11+D19*14+D20*16)/41</f>
        <v/>
      </c>
      <c r="E17" s="17">
        <f>(E18*11+E19*14+E20*16)/41</f>
        <v/>
      </c>
      <c r="F17" s="17">
        <f>(F18*11+F19*14+F20*16)/41</f>
        <v/>
      </c>
      <c r="G17" s="17">
        <f>(G18*11+G19*14+G20*16)/41</f>
        <v/>
      </c>
      <c r="H17" s="17">
        <f>(H18*11+H19*14+H20*16)/41</f>
        <v/>
      </c>
      <c r="I17" s="17">
        <f>(I18*11+I19*14+I20*16)/41</f>
        <v/>
      </c>
      <c r="J17" s="17">
        <f>(J18*11+J19*14+J20*16)/41</f>
        <v/>
      </c>
      <c r="K17" s="17">
        <f>(K18*11+K19*14+K20*16)/41</f>
        <v/>
      </c>
      <c r="L17" s="17">
        <f>(L18*11+L19*14+L20*16)/41</f>
        <v/>
      </c>
      <c r="M17" s="17">
        <f>(M18*11+M19*14+M20*16)/41</f>
        <v/>
      </c>
      <c r="N17" s="17">
        <f>(N18*11+N19*14+N20*16)/41</f>
        <v/>
      </c>
      <c r="O17" s="17">
        <f>(O18*11+O19*14+O20*16)/41</f>
        <v/>
      </c>
      <c r="P17" s="17">
        <f>(P18*11+P19*14+P20*16)/41</f>
        <v/>
      </c>
      <c r="Q17" s="17">
        <f>(Q18*11+Q19*14+Q20*16)/41</f>
        <v/>
      </c>
      <c r="R17" s="17">
        <f>(R18*11+R19*14+R20*16)/41</f>
        <v/>
      </c>
      <c r="S17" s="17">
        <f>(S18*11+S19*14+S20*16)/41</f>
        <v/>
      </c>
    </row>
    <row r="18">
      <c r="B18" s="18" t="inlineStr">
        <is>
          <t xml:space="preserve">    Capacity Management</t>
        </is>
      </c>
      <c r="D18" s="19">
        <f>(IF(D29="Covered",1,IF(D29="Partial",0.5,0))+IF(D30="Covered",1,IF(D30="Partial",0.5,0))+IF(D31="Covered",1,IF(D31="Partial",0.5,0))+IF(D32="Covered",1,IF(D32="Partial",0.5,0))+IF(D33="Covered",1,IF(D33="Partial",0.5,0))+IF(D35="Covered",1,IF(D35="Partial",0.5,0))+IF(D36="Covered",1,IF(D36="Partial",0.5,0))+IF(D37="Covered",1,IF(D37="Partial",0.5,0))+IF(D39="Covered",1,IF(D39="Partial",0.5,0))+IF(D40="Covered",1,IF(D40="Partial",0.5,0))+IF(D41="Covered",1,IF(D41="Partial",0.5,0)))/11</f>
        <v/>
      </c>
      <c r="E18" s="19">
        <f>(IF(E29="Covered",1,IF(E29="Partial",0.5,0))+IF(E30="Covered",1,IF(E30="Partial",0.5,0))+IF(E31="Covered",1,IF(E31="Partial",0.5,0))+IF(E32="Covered",1,IF(E32="Partial",0.5,0))+IF(E33="Covered",1,IF(E33="Partial",0.5,0))+IF(E35="Covered",1,IF(E35="Partial",0.5,0))+IF(E36="Covered",1,IF(E36="Partial",0.5,0))+IF(E37="Covered",1,IF(E37="Partial",0.5,0))+IF(E39="Covered",1,IF(E39="Partial",0.5,0))+IF(E40="Covered",1,IF(E40="Partial",0.5,0))+IF(E41="Covered",1,IF(E41="Partial",0.5,0)))/11</f>
        <v/>
      </c>
      <c r="F18" s="19">
        <f>(IF(F29="Covered",1,IF(F29="Partial",0.5,0))+IF(F30="Covered",1,IF(F30="Partial",0.5,0))+IF(F31="Covered",1,IF(F31="Partial",0.5,0))+IF(F32="Covered",1,IF(F32="Partial",0.5,0))+IF(F33="Covered",1,IF(F33="Partial",0.5,0))+IF(F35="Covered",1,IF(F35="Partial",0.5,0))+IF(F36="Covered",1,IF(F36="Partial",0.5,0))+IF(F37="Covered",1,IF(F37="Partial",0.5,0))+IF(F39="Covered",1,IF(F39="Partial",0.5,0))+IF(F40="Covered",1,IF(F40="Partial",0.5,0))+IF(F41="Covered",1,IF(F41="Partial",0.5,0)))/11</f>
        <v/>
      </c>
      <c r="G18" s="19">
        <f>(IF(G29="Covered",1,IF(G29="Partial",0.5,0))+IF(G30="Covered",1,IF(G30="Partial",0.5,0))+IF(G31="Covered",1,IF(G31="Partial",0.5,0))+IF(G32="Covered",1,IF(G32="Partial",0.5,0))+IF(G33="Covered",1,IF(G33="Partial",0.5,0))+IF(G35="Covered",1,IF(G35="Partial",0.5,0))+IF(G36="Covered",1,IF(G36="Partial",0.5,0))+IF(G37="Covered",1,IF(G37="Partial",0.5,0))+IF(G39="Covered",1,IF(G39="Partial",0.5,0))+IF(G40="Covered",1,IF(G40="Partial",0.5,0))+IF(G41="Covered",1,IF(G41="Partial",0.5,0)))/11</f>
        <v/>
      </c>
      <c r="H18" s="19">
        <f>(IF(H29="Covered",1,IF(H29="Partial",0.5,0))+IF(H30="Covered",1,IF(H30="Partial",0.5,0))+IF(H31="Covered",1,IF(H31="Partial",0.5,0))+IF(H32="Covered",1,IF(H32="Partial",0.5,0))+IF(H33="Covered",1,IF(H33="Partial",0.5,0))+IF(H35="Covered",1,IF(H35="Partial",0.5,0))+IF(H36="Covered",1,IF(H36="Partial",0.5,0))+IF(H37="Covered",1,IF(H37="Partial",0.5,0))+IF(H39="Covered",1,IF(H39="Partial",0.5,0))+IF(H40="Covered",1,IF(H40="Partial",0.5,0))+IF(H41="Covered",1,IF(H41="Partial",0.5,0)))/11</f>
        <v/>
      </c>
      <c r="I18" s="19">
        <f>(IF(I29="Covered",1,IF(I29="Partial",0.5,0))+IF(I30="Covered",1,IF(I30="Partial",0.5,0))+IF(I31="Covered",1,IF(I31="Partial",0.5,0))+IF(I32="Covered",1,IF(I32="Partial",0.5,0))+IF(I33="Covered",1,IF(I33="Partial",0.5,0))+IF(I35="Covered",1,IF(I35="Partial",0.5,0))+IF(I36="Covered",1,IF(I36="Partial",0.5,0))+IF(I37="Covered",1,IF(I37="Partial",0.5,0))+IF(I39="Covered",1,IF(I39="Partial",0.5,0))+IF(I40="Covered",1,IF(I40="Partial",0.5,0))+IF(I41="Covered",1,IF(I41="Partial",0.5,0)))/11</f>
        <v/>
      </c>
      <c r="J18" s="19">
        <f>(IF(J29="Covered",1,IF(J29="Partial",0.5,0))+IF(J30="Covered",1,IF(J30="Partial",0.5,0))+IF(J31="Covered",1,IF(J31="Partial",0.5,0))+IF(J32="Covered",1,IF(J32="Partial",0.5,0))+IF(J33="Covered",1,IF(J33="Partial",0.5,0))+IF(J35="Covered",1,IF(J35="Partial",0.5,0))+IF(J36="Covered",1,IF(J36="Partial",0.5,0))+IF(J37="Covered",1,IF(J37="Partial",0.5,0))+IF(J39="Covered",1,IF(J39="Partial",0.5,0))+IF(J40="Covered",1,IF(J40="Partial",0.5,0))+IF(J41="Covered",1,IF(J41="Partial",0.5,0)))/11</f>
        <v/>
      </c>
      <c r="K18" s="19">
        <f>(IF(K29="Covered",1,IF(K29="Partial",0.5,0))+IF(K30="Covered",1,IF(K30="Partial",0.5,0))+IF(K31="Covered",1,IF(K31="Partial",0.5,0))+IF(K32="Covered",1,IF(K32="Partial",0.5,0))+IF(K33="Covered",1,IF(K33="Partial",0.5,0))+IF(K35="Covered",1,IF(K35="Partial",0.5,0))+IF(K36="Covered",1,IF(K36="Partial",0.5,0))+IF(K37="Covered",1,IF(K37="Partial",0.5,0))+IF(K39="Covered",1,IF(K39="Partial",0.5,0))+IF(K40="Covered",1,IF(K40="Partial",0.5,0))+IF(K41="Covered",1,IF(K41="Partial",0.5,0)))/11</f>
        <v/>
      </c>
      <c r="L18" s="19">
        <f>(IF(L29="Covered",1,IF(L29="Partial",0.5,0))+IF(L30="Covered",1,IF(L30="Partial",0.5,0))+IF(L31="Covered",1,IF(L31="Partial",0.5,0))+IF(L32="Covered",1,IF(L32="Partial",0.5,0))+IF(L33="Covered",1,IF(L33="Partial",0.5,0))+IF(L35="Covered",1,IF(L35="Partial",0.5,0))+IF(L36="Covered",1,IF(L36="Partial",0.5,0))+IF(L37="Covered",1,IF(L37="Partial",0.5,0))+IF(L39="Covered",1,IF(L39="Partial",0.5,0))+IF(L40="Covered",1,IF(L40="Partial",0.5,0))+IF(L41="Covered",1,IF(L41="Partial",0.5,0)))/11</f>
        <v/>
      </c>
      <c r="M18" s="19">
        <f>(IF(M29="Covered",1,IF(M29="Partial",0.5,0))+IF(M30="Covered",1,IF(M30="Partial",0.5,0))+IF(M31="Covered",1,IF(M31="Partial",0.5,0))+IF(M32="Covered",1,IF(M32="Partial",0.5,0))+IF(M33="Covered",1,IF(M33="Partial",0.5,0))+IF(M35="Covered",1,IF(M35="Partial",0.5,0))+IF(M36="Covered",1,IF(M36="Partial",0.5,0))+IF(M37="Covered",1,IF(M37="Partial",0.5,0))+IF(M39="Covered",1,IF(M39="Partial",0.5,0))+IF(M40="Covered",1,IF(M40="Partial",0.5,0))+IF(M41="Covered",1,IF(M41="Partial",0.5,0)))/11</f>
        <v/>
      </c>
      <c r="N18" s="19">
        <f>(IF(N29="Covered",1,IF(N29="Partial",0.5,0))+IF(N30="Covered",1,IF(N30="Partial",0.5,0))+IF(N31="Covered",1,IF(N31="Partial",0.5,0))+IF(N32="Covered",1,IF(N32="Partial",0.5,0))+IF(N33="Covered",1,IF(N33="Partial",0.5,0))+IF(N35="Covered",1,IF(N35="Partial",0.5,0))+IF(N36="Covered",1,IF(N36="Partial",0.5,0))+IF(N37="Covered",1,IF(N37="Partial",0.5,0))+IF(N39="Covered",1,IF(N39="Partial",0.5,0))+IF(N40="Covered",1,IF(N40="Partial",0.5,0))+IF(N41="Covered",1,IF(N41="Partial",0.5,0)))/11</f>
        <v/>
      </c>
      <c r="O18" s="19">
        <f>(IF(O29="Covered",1,IF(O29="Partial",0.5,0))+IF(O30="Covered",1,IF(O30="Partial",0.5,0))+IF(O31="Covered",1,IF(O31="Partial",0.5,0))+IF(O32="Covered",1,IF(O32="Partial",0.5,0))+IF(O33="Covered",1,IF(O33="Partial",0.5,0))+IF(O35="Covered",1,IF(O35="Partial",0.5,0))+IF(O36="Covered",1,IF(O36="Partial",0.5,0))+IF(O37="Covered",1,IF(O37="Partial",0.5,0))+IF(O39="Covered",1,IF(O39="Partial",0.5,0))+IF(O40="Covered",1,IF(O40="Partial",0.5,0))+IF(O41="Covered",1,IF(O41="Partial",0.5,0)))/11</f>
        <v/>
      </c>
      <c r="P18" s="19">
        <f>(IF(P29="Covered",1,IF(P29="Partial",0.5,0))+IF(P30="Covered",1,IF(P30="Partial",0.5,0))+IF(P31="Covered",1,IF(P31="Partial",0.5,0))+IF(P32="Covered",1,IF(P32="Partial",0.5,0))+IF(P33="Covered",1,IF(P33="Partial",0.5,0))+IF(P35="Covered",1,IF(P35="Partial",0.5,0))+IF(P36="Covered",1,IF(P36="Partial",0.5,0))+IF(P37="Covered",1,IF(P37="Partial",0.5,0))+IF(P39="Covered",1,IF(P39="Partial",0.5,0))+IF(P40="Covered",1,IF(P40="Partial",0.5,0))+IF(P41="Covered",1,IF(P41="Partial",0.5,0)))/11</f>
        <v/>
      </c>
      <c r="Q18" s="19">
        <f>(IF(Q29="Covered",1,IF(Q29="Partial",0.5,0))+IF(Q30="Covered",1,IF(Q30="Partial",0.5,0))+IF(Q31="Covered",1,IF(Q31="Partial",0.5,0))+IF(Q32="Covered",1,IF(Q32="Partial",0.5,0))+IF(Q33="Covered",1,IF(Q33="Partial",0.5,0))+IF(Q35="Covered",1,IF(Q35="Partial",0.5,0))+IF(Q36="Covered",1,IF(Q36="Partial",0.5,0))+IF(Q37="Covered",1,IF(Q37="Partial",0.5,0))+IF(Q39="Covered",1,IF(Q39="Partial",0.5,0))+IF(Q40="Covered",1,IF(Q40="Partial",0.5,0))+IF(Q41="Covered",1,IF(Q41="Partial",0.5,0)))/11</f>
        <v/>
      </c>
      <c r="R18" s="19">
        <f>(IF(R29="Covered",1,IF(R29="Partial",0.5,0))+IF(R30="Covered",1,IF(R30="Partial",0.5,0))+IF(R31="Covered",1,IF(R31="Partial",0.5,0))+IF(R32="Covered",1,IF(R32="Partial",0.5,0))+IF(R33="Covered",1,IF(R33="Partial",0.5,0))+IF(R35="Covered",1,IF(R35="Partial",0.5,0))+IF(R36="Covered",1,IF(R36="Partial",0.5,0))+IF(R37="Covered",1,IF(R37="Partial",0.5,0))+IF(R39="Covered",1,IF(R39="Partial",0.5,0))+IF(R40="Covered",1,IF(R40="Partial",0.5,0))+IF(R41="Covered",1,IF(R41="Partial",0.5,0)))/11</f>
        <v/>
      </c>
      <c r="S18" s="19">
        <f>(IF(S29="Covered",1,IF(S29="Partial",0.5,0))+IF(S30="Covered",1,IF(S30="Partial",0.5,0))+IF(S31="Covered",1,IF(S31="Partial",0.5,0))+IF(S32="Covered",1,IF(S32="Partial",0.5,0))+IF(S33="Covered",1,IF(S33="Partial",0.5,0))+IF(S35="Covered",1,IF(S35="Partial",0.5,0))+IF(S36="Covered",1,IF(S36="Partial",0.5,0))+IF(S37="Covered",1,IF(S37="Partial",0.5,0))+IF(S39="Covered",1,IF(S39="Partial",0.5,0))+IF(S40="Covered",1,IF(S40="Partial",0.5,0))+IF(S41="Covered",1,IF(S41="Partial",0.5,0)))/11</f>
        <v/>
      </c>
    </row>
    <row r="19">
      <c r="B19" s="20" t="inlineStr">
        <is>
          <t xml:space="preserve">    Scheduling Engine</t>
        </is>
      </c>
      <c r="D19" s="21">
        <f>(IF(D45="Covered",1,IF(D45="Partial",0.5,0))+IF(D46="Covered",1,IF(D46="Partial",0.5,0))+IF(D47="Covered",1,IF(D47="Partial",0.5,0))+IF(D48="Covered",1,IF(D48="Partial",0.5,0))+IF(D50="Covered",1,IF(D50="Partial",0.5,0))+IF(D51="Covered",1,IF(D51="Partial",0.5,0))+IF(D52="Covered",1,IF(D52="Partial",0.5,0))+IF(D53="Covered",1,IF(D53="Partial",0.5,0))+IF(D54="Covered",1,IF(D54="Partial",0.5,0))+IF(D56="Covered",1,IF(D56="Partial",0.5,0))+IF(D57="Covered",1,IF(D57="Partial",0.5,0))+IF(D58="Covered",1,IF(D58="Partial",0.5,0))+IF(D60="Covered",1,IF(D60="Partial",0.5,0))+IF(D61="Covered",1,IF(D61="Partial",0.5,0)))/14</f>
        <v/>
      </c>
      <c r="E19" s="21">
        <f>(IF(E45="Covered",1,IF(E45="Partial",0.5,0))+IF(E46="Covered",1,IF(E46="Partial",0.5,0))+IF(E47="Covered",1,IF(E47="Partial",0.5,0))+IF(E48="Covered",1,IF(E48="Partial",0.5,0))+IF(E50="Covered",1,IF(E50="Partial",0.5,0))+IF(E51="Covered",1,IF(E51="Partial",0.5,0))+IF(E52="Covered",1,IF(E52="Partial",0.5,0))+IF(E53="Covered",1,IF(E53="Partial",0.5,0))+IF(E54="Covered",1,IF(E54="Partial",0.5,0))+IF(E56="Covered",1,IF(E56="Partial",0.5,0))+IF(E57="Covered",1,IF(E57="Partial",0.5,0))+IF(E58="Covered",1,IF(E58="Partial",0.5,0))+IF(E60="Covered",1,IF(E60="Partial",0.5,0))+IF(E61="Covered",1,IF(E61="Partial",0.5,0)))/14</f>
        <v/>
      </c>
      <c r="F19" s="21">
        <f>(IF(F45="Covered",1,IF(F45="Partial",0.5,0))+IF(F46="Covered",1,IF(F46="Partial",0.5,0))+IF(F47="Covered",1,IF(F47="Partial",0.5,0))+IF(F48="Covered",1,IF(F48="Partial",0.5,0))+IF(F50="Covered",1,IF(F50="Partial",0.5,0))+IF(F51="Covered",1,IF(F51="Partial",0.5,0))+IF(F52="Covered",1,IF(F52="Partial",0.5,0))+IF(F53="Covered",1,IF(F53="Partial",0.5,0))+IF(F54="Covered",1,IF(F54="Partial",0.5,0))+IF(F56="Covered",1,IF(F56="Partial",0.5,0))+IF(F57="Covered",1,IF(F57="Partial",0.5,0))+IF(F58="Covered",1,IF(F58="Partial",0.5,0))+IF(F60="Covered",1,IF(F60="Partial",0.5,0))+IF(F61="Covered",1,IF(F61="Partial",0.5,0)))/14</f>
        <v/>
      </c>
      <c r="G19" s="21">
        <f>(IF(G45="Covered",1,IF(G45="Partial",0.5,0))+IF(G46="Covered",1,IF(G46="Partial",0.5,0))+IF(G47="Covered",1,IF(G47="Partial",0.5,0))+IF(G48="Covered",1,IF(G48="Partial",0.5,0))+IF(G50="Covered",1,IF(G50="Partial",0.5,0))+IF(G51="Covered",1,IF(G51="Partial",0.5,0))+IF(G52="Covered",1,IF(G52="Partial",0.5,0))+IF(G53="Covered",1,IF(G53="Partial",0.5,0))+IF(G54="Covered",1,IF(G54="Partial",0.5,0))+IF(G56="Covered",1,IF(G56="Partial",0.5,0))+IF(G57="Covered",1,IF(G57="Partial",0.5,0))+IF(G58="Covered",1,IF(G58="Partial",0.5,0))+IF(G60="Covered",1,IF(G60="Partial",0.5,0))+IF(G61="Covered",1,IF(G61="Partial",0.5,0)))/14</f>
        <v/>
      </c>
      <c r="H19" s="21">
        <f>(IF(H45="Covered",1,IF(H45="Partial",0.5,0))+IF(H46="Covered",1,IF(H46="Partial",0.5,0))+IF(H47="Covered",1,IF(H47="Partial",0.5,0))+IF(H48="Covered",1,IF(H48="Partial",0.5,0))+IF(H50="Covered",1,IF(H50="Partial",0.5,0))+IF(H51="Covered",1,IF(H51="Partial",0.5,0))+IF(H52="Covered",1,IF(H52="Partial",0.5,0))+IF(H53="Covered",1,IF(H53="Partial",0.5,0))+IF(H54="Covered",1,IF(H54="Partial",0.5,0))+IF(H56="Covered",1,IF(H56="Partial",0.5,0))+IF(H57="Covered",1,IF(H57="Partial",0.5,0))+IF(H58="Covered",1,IF(H58="Partial",0.5,0))+IF(H60="Covered",1,IF(H60="Partial",0.5,0))+IF(H61="Covered",1,IF(H61="Partial",0.5,0)))/14</f>
        <v/>
      </c>
      <c r="I19" s="21">
        <f>(IF(I45="Covered",1,IF(I45="Partial",0.5,0))+IF(I46="Covered",1,IF(I46="Partial",0.5,0))+IF(I47="Covered",1,IF(I47="Partial",0.5,0))+IF(I48="Covered",1,IF(I48="Partial",0.5,0))+IF(I50="Covered",1,IF(I50="Partial",0.5,0))+IF(I51="Covered",1,IF(I51="Partial",0.5,0))+IF(I52="Covered",1,IF(I52="Partial",0.5,0))+IF(I53="Covered",1,IF(I53="Partial",0.5,0))+IF(I54="Covered",1,IF(I54="Partial",0.5,0))+IF(I56="Covered",1,IF(I56="Partial",0.5,0))+IF(I57="Covered",1,IF(I57="Partial",0.5,0))+IF(I58="Covered",1,IF(I58="Partial",0.5,0))+IF(I60="Covered",1,IF(I60="Partial",0.5,0))+IF(I61="Covered",1,IF(I61="Partial",0.5,0)))/14</f>
        <v/>
      </c>
      <c r="J19" s="21">
        <f>(IF(J45="Covered",1,IF(J45="Partial",0.5,0))+IF(J46="Covered",1,IF(J46="Partial",0.5,0))+IF(J47="Covered",1,IF(J47="Partial",0.5,0))+IF(J48="Covered",1,IF(J48="Partial",0.5,0))+IF(J50="Covered",1,IF(J50="Partial",0.5,0))+IF(J51="Covered",1,IF(J51="Partial",0.5,0))+IF(J52="Covered",1,IF(J52="Partial",0.5,0))+IF(J53="Covered",1,IF(J53="Partial",0.5,0))+IF(J54="Covered",1,IF(J54="Partial",0.5,0))+IF(J56="Covered",1,IF(J56="Partial",0.5,0))+IF(J57="Covered",1,IF(J57="Partial",0.5,0))+IF(J58="Covered",1,IF(J58="Partial",0.5,0))+IF(J60="Covered",1,IF(J60="Partial",0.5,0))+IF(J61="Covered",1,IF(J61="Partial",0.5,0)))/14</f>
        <v/>
      </c>
      <c r="K19" s="21">
        <f>(IF(K45="Covered",1,IF(K45="Partial",0.5,0))+IF(K46="Covered",1,IF(K46="Partial",0.5,0))+IF(K47="Covered",1,IF(K47="Partial",0.5,0))+IF(K48="Covered",1,IF(K48="Partial",0.5,0))+IF(K50="Covered",1,IF(K50="Partial",0.5,0))+IF(K51="Covered",1,IF(K51="Partial",0.5,0))+IF(K52="Covered",1,IF(K52="Partial",0.5,0))+IF(K53="Covered",1,IF(K53="Partial",0.5,0))+IF(K54="Covered",1,IF(K54="Partial",0.5,0))+IF(K56="Covered",1,IF(K56="Partial",0.5,0))+IF(K57="Covered",1,IF(K57="Partial",0.5,0))+IF(K58="Covered",1,IF(K58="Partial",0.5,0))+IF(K60="Covered",1,IF(K60="Partial",0.5,0))+IF(K61="Covered",1,IF(K61="Partial",0.5,0)))/14</f>
        <v/>
      </c>
      <c r="L19" s="21">
        <f>(IF(L45="Covered",1,IF(L45="Partial",0.5,0))+IF(L46="Covered",1,IF(L46="Partial",0.5,0))+IF(L47="Covered",1,IF(L47="Partial",0.5,0))+IF(L48="Covered",1,IF(L48="Partial",0.5,0))+IF(L50="Covered",1,IF(L50="Partial",0.5,0))+IF(L51="Covered",1,IF(L51="Partial",0.5,0))+IF(L52="Covered",1,IF(L52="Partial",0.5,0))+IF(L53="Covered",1,IF(L53="Partial",0.5,0))+IF(L54="Covered",1,IF(L54="Partial",0.5,0))+IF(L56="Covered",1,IF(L56="Partial",0.5,0))+IF(L57="Covered",1,IF(L57="Partial",0.5,0))+IF(L58="Covered",1,IF(L58="Partial",0.5,0))+IF(L60="Covered",1,IF(L60="Partial",0.5,0))+IF(L61="Covered",1,IF(L61="Partial",0.5,0)))/14</f>
        <v/>
      </c>
      <c r="M19" s="21">
        <f>(IF(M45="Covered",1,IF(M45="Partial",0.5,0))+IF(M46="Covered",1,IF(M46="Partial",0.5,0))+IF(M47="Covered",1,IF(M47="Partial",0.5,0))+IF(M48="Covered",1,IF(M48="Partial",0.5,0))+IF(M50="Covered",1,IF(M50="Partial",0.5,0))+IF(M51="Covered",1,IF(M51="Partial",0.5,0))+IF(M52="Covered",1,IF(M52="Partial",0.5,0))+IF(M53="Covered",1,IF(M53="Partial",0.5,0))+IF(M54="Covered",1,IF(M54="Partial",0.5,0))+IF(M56="Covered",1,IF(M56="Partial",0.5,0))+IF(M57="Covered",1,IF(M57="Partial",0.5,0))+IF(M58="Covered",1,IF(M58="Partial",0.5,0))+IF(M60="Covered",1,IF(M60="Partial",0.5,0))+IF(M61="Covered",1,IF(M61="Partial",0.5,0)))/14</f>
        <v/>
      </c>
      <c r="N19" s="21">
        <f>(IF(N45="Covered",1,IF(N45="Partial",0.5,0))+IF(N46="Covered",1,IF(N46="Partial",0.5,0))+IF(N47="Covered",1,IF(N47="Partial",0.5,0))+IF(N48="Covered",1,IF(N48="Partial",0.5,0))+IF(N50="Covered",1,IF(N50="Partial",0.5,0))+IF(N51="Covered",1,IF(N51="Partial",0.5,0))+IF(N52="Covered",1,IF(N52="Partial",0.5,0))+IF(N53="Covered",1,IF(N53="Partial",0.5,0))+IF(N54="Covered",1,IF(N54="Partial",0.5,0))+IF(N56="Covered",1,IF(N56="Partial",0.5,0))+IF(N57="Covered",1,IF(N57="Partial",0.5,0))+IF(N58="Covered",1,IF(N58="Partial",0.5,0))+IF(N60="Covered",1,IF(N60="Partial",0.5,0))+IF(N61="Covered",1,IF(N61="Partial",0.5,0)))/14</f>
        <v/>
      </c>
      <c r="O19" s="21">
        <f>(IF(O45="Covered",1,IF(O45="Partial",0.5,0))+IF(O46="Covered",1,IF(O46="Partial",0.5,0))+IF(O47="Covered",1,IF(O47="Partial",0.5,0))+IF(O48="Covered",1,IF(O48="Partial",0.5,0))+IF(O50="Covered",1,IF(O50="Partial",0.5,0))+IF(O51="Covered",1,IF(O51="Partial",0.5,0))+IF(O52="Covered",1,IF(O52="Partial",0.5,0))+IF(O53="Covered",1,IF(O53="Partial",0.5,0))+IF(O54="Covered",1,IF(O54="Partial",0.5,0))+IF(O56="Covered",1,IF(O56="Partial",0.5,0))+IF(O57="Covered",1,IF(O57="Partial",0.5,0))+IF(O58="Covered",1,IF(O58="Partial",0.5,0))+IF(O60="Covered",1,IF(O60="Partial",0.5,0))+IF(O61="Covered",1,IF(O61="Partial",0.5,0)))/14</f>
        <v/>
      </c>
      <c r="P19" s="21">
        <f>(IF(P45="Covered",1,IF(P45="Partial",0.5,0))+IF(P46="Covered",1,IF(P46="Partial",0.5,0))+IF(P47="Covered",1,IF(P47="Partial",0.5,0))+IF(P48="Covered",1,IF(P48="Partial",0.5,0))+IF(P50="Covered",1,IF(P50="Partial",0.5,0))+IF(P51="Covered",1,IF(P51="Partial",0.5,0))+IF(P52="Covered",1,IF(P52="Partial",0.5,0))+IF(P53="Covered",1,IF(P53="Partial",0.5,0))+IF(P54="Covered",1,IF(P54="Partial",0.5,0))+IF(P56="Covered",1,IF(P56="Partial",0.5,0))+IF(P57="Covered",1,IF(P57="Partial",0.5,0))+IF(P58="Covered",1,IF(P58="Partial",0.5,0))+IF(P60="Covered",1,IF(P60="Partial",0.5,0))+IF(P61="Covered",1,IF(P61="Partial",0.5,0)))/14</f>
        <v/>
      </c>
      <c r="Q19" s="21">
        <f>(IF(Q45="Covered",1,IF(Q45="Partial",0.5,0))+IF(Q46="Covered",1,IF(Q46="Partial",0.5,0))+IF(Q47="Covered",1,IF(Q47="Partial",0.5,0))+IF(Q48="Covered",1,IF(Q48="Partial",0.5,0))+IF(Q50="Covered",1,IF(Q50="Partial",0.5,0))+IF(Q51="Covered",1,IF(Q51="Partial",0.5,0))+IF(Q52="Covered",1,IF(Q52="Partial",0.5,0))+IF(Q53="Covered",1,IF(Q53="Partial",0.5,0))+IF(Q54="Covered",1,IF(Q54="Partial",0.5,0))+IF(Q56="Covered",1,IF(Q56="Partial",0.5,0))+IF(Q57="Covered",1,IF(Q57="Partial",0.5,0))+IF(Q58="Covered",1,IF(Q58="Partial",0.5,0))+IF(Q60="Covered",1,IF(Q60="Partial",0.5,0))+IF(Q61="Covered",1,IF(Q61="Partial",0.5,0)))/14</f>
        <v/>
      </c>
      <c r="R19" s="21">
        <f>(IF(R45="Covered",1,IF(R45="Partial",0.5,0))+IF(R46="Covered",1,IF(R46="Partial",0.5,0))+IF(R47="Covered",1,IF(R47="Partial",0.5,0))+IF(R48="Covered",1,IF(R48="Partial",0.5,0))+IF(R50="Covered",1,IF(R50="Partial",0.5,0))+IF(R51="Covered",1,IF(R51="Partial",0.5,0))+IF(R52="Covered",1,IF(R52="Partial",0.5,0))+IF(R53="Covered",1,IF(R53="Partial",0.5,0))+IF(R54="Covered",1,IF(R54="Partial",0.5,0))+IF(R56="Covered",1,IF(R56="Partial",0.5,0))+IF(R57="Covered",1,IF(R57="Partial",0.5,0))+IF(R58="Covered",1,IF(R58="Partial",0.5,0))+IF(R60="Covered",1,IF(R60="Partial",0.5,0))+IF(R61="Covered",1,IF(R61="Partial",0.5,0)))/14</f>
        <v/>
      </c>
      <c r="S19" s="21">
        <f>(IF(S45="Covered",1,IF(S45="Partial",0.5,0))+IF(S46="Covered",1,IF(S46="Partial",0.5,0))+IF(S47="Covered",1,IF(S47="Partial",0.5,0))+IF(S48="Covered",1,IF(S48="Partial",0.5,0))+IF(S50="Covered",1,IF(S50="Partial",0.5,0))+IF(S51="Covered",1,IF(S51="Partial",0.5,0))+IF(S52="Covered",1,IF(S52="Partial",0.5,0))+IF(S53="Covered",1,IF(S53="Partial",0.5,0))+IF(S54="Covered",1,IF(S54="Partial",0.5,0))+IF(S56="Covered",1,IF(S56="Partial",0.5,0))+IF(S57="Covered",1,IF(S57="Partial",0.5,0))+IF(S58="Covered",1,IF(S58="Partial",0.5,0))+IF(S60="Covered",1,IF(S60="Partial",0.5,0))+IF(S61="Covered",1,IF(S61="Partial",0.5,0)))/14</f>
        <v/>
      </c>
    </row>
    <row r="20">
      <c r="B20" s="22" t="inlineStr">
        <is>
          <t xml:space="preserve">    Engagement</t>
        </is>
      </c>
      <c r="D20" s="23">
        <f>(IF(D65="Covered",1,IF(D65="Partial",0.5,0))+IF(D66="Covered",1,IF(D66="Partial",0.5,0))+IF(D68="Covered",1,IF(D68="Partial",0.5,0))+IF(D69="Covered",1,IF(D69="Partial",0.5,0))+IF(D70="Covered",1,IF(D70="Partial",0.5,0))+IF(D71="Covered",1,IF(D71="Partial",0.5,0))+IF(D72="Covered",1,IF(D72="Partial",0.5,0))+IF(D73="Covered",1,IF(D73="Partial",0.5,0))+IF(D75="Covered",1,IF(D75="Partial",0.5,0))+IF(D76="Covered",1,IF(D76="Partial",0.5,0))+IF(D77="Covered",1,IF(D77="Partial",0.5,0))+IF(D78="Covered",1,IF(D78="Partial",0.5,0))+IF(D80="Covered",1,IF(D80="Partial",0.5,0))+IF(D82="Covered",1,IF(D82="Partial",0.5,0))+IF(D83="Covered",1,IF(D83="Partial",0.5,0))+IF(D84="Covered",1,IF(D84="Partial",0.5,0)))/16</f>
        <v/>
      </c>
      <c r="E20" s="23">
        <f>(IF(E65="Covered",1,IF(E65="Partial",0.5,0))+IF(E66="Covered",1,IF(E66="Partial",0.5,0))+IF(E68="Covered",1,IF(E68="Partial",0.5,0))+IF(E69="Covered",1,IF(E69="Partial",0.5,0))+IF(E70="Covered",1,IF(E70="Partial",0.5,0))+IF(E71="Covered",1,IF(E71="Partial",0.5,0))+IF(E72="Covered",1,IF(E72="Partial",0.5,0))+IF(E73="Covered",1,IF(E73="Partial",0.5,0))+IF(E75="Covered",1,IF(E75="Partial",0.5,0))+IF(E76="Covered",1,IF(E76="Partial",0.5,0))+IF(E77="Covered",1,IF(E77="Partial",0.5,0))+IF(E78="Covered",1,IF(E78="Partial",0.5,0))+IF(E80="Covered",1,IF(E80="Partial",0.5,0))+IF(E82="Covered",1,IF(E82="Partial",0.5,0))+IF(E83="Covered",1,IF(E83="Partial",0.5,0))+IF(E84="Covered",1,IF(E84="Partial",0.5,0)))/16</f>
        <v/>
      </c>
      <c r="F20" s="23">
        <f>(IF(F65="Covered",1,IF(F65="Partial",0.5,0))+IF(F66="Covered",1,IF(F66="Partial",0.5,0))+IF(F68="Covered",1,IF(F68="Partial",0.5,0))+IF(F69="Covered",1,IF(F69="Partial",0.5,0))+IF(F70="Covered",1,IF(F70="Partial",0.5,0))+IF(F71="Covered",1,IF(F71="Partial",0.5,0))+IF(F72="Covered",1,IF(F72="Partial",0.5,0))+IF(F73="Covered",1,IF(F73="Partial",0.5,0))+IF(F75="Covered",1,IF(F75="Partial",0.5,0))+IF(F76="Covered",1,IF(F76="Partial",0.5,0))+IF(F77="Covered",1,IF(F77="Partial",0.5,0))+IF(F78="Covered",1,IF(F78="Partial",0.5,0))+IF(F80="Covered",1,IF(F80="Partial",0.5,0))+IF(F82="Covered",1,IF(F82="Partial",0.5,0))+IF(F83="Covered",1,IF(F83="Partial",0.5,0))+IF(F84="Covered",1,IF(F84="Partial",0.5,0)))/16</f>
        <v/>
      </c>
      <c r="G20" s="23">
        <f>(IF(G65="Covered",1,IF(G65="Partial",0.5,0))+IF(G66="Covered",1,IF(G66="Partial",0.5,0))+IF(G68="Covered",1,IF(G68="Partial",0.5,0))+IF(G69="Covered",1,IF(G69="Partial",0.5,0))+IF(G70="Covered",1,IF(G70="Partial",0.5,0))+IF(G71="Covered",1,IF(G71="Partial",0.5,0))+IF(G72="Covered",1,IF(G72="Partial",0.5,0))+IF(G73="Covered",1,IF(G73="Partial",0.5,0))+IF(G75="Covered",1,IF(G75="Partial",0.5,0))+IF(G76="Covered",1,IF(G76="Partial",0.5,0))+IF(G77="Covered",1,IF(G77="Partial",0.5,0))+IF(G78="Covered",1,IF(G78="Partial",0.5,0))+IF(G80="Covered",1,IF(G80="Partial",0.5,0))+IF(G82="Covered",1,IF(G82="Partial",0.5,0))+IF(G83="Covered",1,IF(G83="Partial",0.5,0))+IF(G84="Covered",1,IF(G84="Partial",0.5,0)))/16</f>
        <v/>
      </c>
      <c r="H20" s="23">
        <f>(IF(H65="Covered",1,IF(H65="Partial",0.5,0))+IF(H66="Covered",1,IF(H66="Partial",0.5,0))+IF(H68="Covered",1,IF(H68="Partial",0.5,0))+IF(H69="Covered",1,IF(H69="Partial",0.5,0))+IF(H70="Covered",1,IF(H70="Partial",0.5,0))+IF(H71="Covered",1,IF(H71="Partial",0.5,0))+IF(H72="Covered",1,IF(H72="Partial",0.5,0))+IF(H73="Covered",1,IF(H73="Partial",0.5,0))+IF(H75="Covered",1,IF(H75="Partial",0.5,0))+IF(H76="Covered",1,IF(H76="Partial",0.5,0))+IF(H77="Covered",1,IF(H77="Partial",0.5,0))+IF(H78="Covered",1,IF(H78="Partial",0.5,0))+IF(H80="Covered",1,IF(H80="Partial",0.5,0))+IF(H82="Covered",1,IF(H82="Partial",0.5,0))+IF(H83="Covered",1,IF(H83="Partial",0.5,0))+IF(H84="Covered",1,IF(H84="Partial",0.5,0)))/16</f>
        <v/>
      </c>
      <c r="I20" s="23">
        <f>(IF(I65="Covered",1,IF(I65="Partial",0.5,0))+IF(I66="Covered",1,IF(I66="Partial",0.5,0))+IF(I68="Covered",1,IF(I68="Partial",0.5,0))+IF(I69="Covered",1,IF(I69="Partial",0.5,0))+IF(I70="Covered",1,IF(I70="Partial",0.5,0))+IF(I71="Covered",1,IF(I71="Partial",0.5,0))+IF(I72="Covered",1,IF(I72="Partial",0.5,0))+IF(I73="Covered",1,IF(I73="Partial",0.5,0))+IF(I75="Covered",1,IF(I75="Partial",0.5,0))+IF(I76="Covered",1,IF(I76="Partial",0.5,0))+IF(I77="Covered",1,IF(I77="Partial",0.5,0))+IF(I78="Covered",1,IF(I78="Partial",0.5,0))+IF(I80="Covered",1,IF(I80="Partial",0.5,0))+IF(I82="Covered",1,IF(I82="Partial",0.5,0))+IF(I83="Covered",1,IF(I83="Partial",0.5,0))+IF(I84="Covered",1,IF(I84="Partial",0.5,0)))/16</f>
        <v/>
      </c>
      <c r="J20" s="23">
        <f>(IF(J65="Covered",1,IF(J65="Partial",0.5,0))+IF(J66="Covered",1,IF(J66="Partial",0.5,0))+IF(J68="Covered",1,IF(J68="Partial",0.5,0))+IF(J69="Covered",1,IF(J69="Partial",0.5,0))+IF(J70="Covered",1,IF(J70="Partial",0.5,0))+IF(J71="Covered",1,IF(J71="Partial",0.5,0))+IF(J72="Covered",1,IF(J72="Partial",0.5,0))+IF(J73="Covered",1,IF(J73="Partial",0.5,0))+IF(J75="Covered",1,IF(J75="Partial",0.5,0))+IF(J76="Covered",1,IF(J76="Partial",0.5,0))+IF(J77="Covered",1,IF(J77="Partial",0.5,0))+IF(J78="Covered",1,IF(J78="Partial",0.5,0))+IF(J80="Covered",1,IF(J80="Partial",0.5,0))+IF(J82="Covered",1,IF(J82="Partial",0.5,0))+IF(J83="Covered",1,IF(J83="Partial",0.5,0))+IF(J84="Covered",1,IF(J84="Partial",0.5,0)))/16</f>
        <v/>
      </c>
      <c r="K20" s="23">
        <f>(IF(K65="Covered",1,IF(K65="Partial",0.5,0))+IF(K66="Covered",1,IF(K66="Partial",0.5,0))+IF(K68="Covered",1,IF(K68="Partial",0.5,0))+IF(K69="Covered",1,IF(K69="Partial",0.5,0))+IF(K70="Covered",1,IF(K70="Partial",0.5,0))+IF(K71="Covered",1,IF(K71="Partial",0.5,0))+IF(K72="Covered",1,IF(K72="Partial",0.5,0))+IF(K73="Covered",1,IF(K73="Partial",0.5,0))+IF(K75="Covered",1,IF(K75="Partial",0.5,0))+IF(K76="Covered",1,IF(K76="Partial",0.5,0))+IF(K77="Covered",1,IF(K77="Partial",0.5,0))+IF(K78="Covered",1,IF(K78="Partial",0.5,0))+IF(K80="Covered",1,IF(K80="Partial",0.5,0))+IF(K82="Covered",1,IF(K82="Partial",0.5,0))+IF(K83="Covered",1,IF(K83="Partial",0.5,0))+IF(K84="Covered",1,IF(K84="Partial",0.5,0)))/16</f>
        <v/>
      </c>
      <c r="L20" s="23">
        <f>(IF(L65="Covered",1,IF(L65="Partial",0.5,0))+IF(L66="Covered",1,IF(L66="Partial",0.5,0))+IF(L68="Covered",1,IF(L68="Partial",0.5,0))+IF(L69="Covered",1,IF(L69="Partial",0.5,0))+IF(L70="Covered",1,IF(L70="Partial",0.5,0))+IF(L71="Covered",1,IF(L71="Partial",0.5,0))+IF(L72="Covered",1,IF(L72="Partial",0.5,0))+IF(L73="Covered",1,IF(L73="Partial",0.5,0))+IF(L75="Covered",1,IF(L75="Partial",0.5,0))+IF(L76="Covered",1,IF(L76="Partial",0.5,0))+IF(L77="Covered",1,IF(L77="Partial",0.5,0))+IF(L78="Covered",1,IF(L78="Partial",0.5,0))+IF(L80="Covered",1,IF(L80="Partial",0.5,0))+IF(L82="Covered",1,IF(L82="Partial",0.5,0))+IF(L83="Covered",1,IF(L83="Partial",0.5,0))+IF(L84="Covered",1,IF(L84="Partial",0.5,0)))/16</f>
        <v/>
      </c>
      <c r="M20" s="23">
        <f>(IF(M65="Covered",1,IF(M65="Partial",0.5,0))+IF(M66="Covered",1,IF(M66="Partial",0.5,0))+IF(M68="Covered",1,IF(M68="Partial",0.5,0))+IF(M69="Covered",1,IF(M69="Partial",0.5,0))+IF(M70="Covered",1,IF(M70="Partial",0.5,0))+IF(M71="Covered",1,IF(M71="Partial",0.5,0))+IF(M72="Covered",1,IF(M72="Partial",0.5,0))+IF(M73="Covered",1,IF(M73="Partial",0.5,0))+IF(M75="Covered",1,IF(M75="Partial",0.5,0))+IF(M76="Covered",1,IF(M76="Partial",0.5,0))+IF(M77="Covered",1,IF(M77="Partial",0.5,0))+IF(M78="Covered",1,IF(M78="Partial",0.5,0))+IF(M80="Covered",1,IF(M80="Partial",0.5,0))+IF(M82="Covered",1,IF(M82="Partial",0.5,0))+IF(M83="Covered",1,IF(M83="Partial",0.5,0))+IF(M84="Covered",1,IF(M84="Partial",0.5,0)))/16</f>
        <v/>
      </c>
      <c r="N20" s="23">
        <f>(IF(N65="Covered",1,IF(N65="Partial",0.5,0))+IF(N66="Covered",1,IF(N66="Partial",0.5,0))+IF(N68="Covered",1,IF(N68="Partial",0.5,0))+IF(N69="Covered",1,IF(N69="Partial",0.5,0))+IF(N70="Covered",1,IF(N70="Partial",0.5,0))+IF(N71="Covered",1,IF(N71="Partial",0.5,0))+IF(N72="Covered",1,IF(N72="Partial",0.5,0))+IF(N73="Covered",1,IF(N73="Partial",0.5,0))+IF(N75="Covered",1,IF(N75="Partial",0.5,0))+IF(N76="Covered",1,IF(N76="Partial",0.5,0))+IF(N77="Covered",1,IF(N77="Partial",0.5,0))+IF(N78="Covered",1,IF(N78="Partial",0.5,0))+IF(N80="Covered",1,IF(N80="Partial",0.5,0))+IF(N82="Covered",1,IF(N82="Partial",0.5,0))+IF(N83="Covered",1,IF(N83="Partial",0.5,0))+IF(N84="Covered",1,IF(N84="Partial",0.5,0)))/16</f>
        <v/>
      </c>
      <c r="O20" s="23">
        <f>(IF(O65="Covered",1,IF(O65="Partial",0.5,0))+IF(O66="Covered",1,IF(O66="Partial",0.5,0))+IF(O68="Covered",1,IF(O68="Partial",0.5,0))+IF(O69="Covered",1,IF(O69="Partial",0.5,0))+IF(O70="Covered",1,IF(O70="Partial",0.5,0))+IF(O71="Covered",1,IF(O71="Partial",0.5,0))+IF(O72="Covered",1,IF(O72="Partial",0.5,0))+IF(O73="Covered",1,IF(O73="Partial",0.5,0))+IF(O75="Covered",1,IF(O75="Partial",0.5,0))+IF(O76="Covered",1,IF(O76="Partial",0.5,0))+IF(O77="Covered",1,IF(O77="Partial",0.5,0))+IF(O78="Covered",1,IF(O78="Partial",0.5,0))+IF(O80="Covered",1,IF(O80="Partial",0.5,0))+IF(O82="Covered",1,IF(O82="Partial",0.5,0))+IF(O83="Covered",1,IF(O83="Partial",0.5,0))+IF(O84="Covered",1,IF(O84="Partial",0.5,0)))/16</f>
        <v/>
      </c>
      <c r="P20" s="23">
        <f>(IF(P65="Covered",1,IF(P65="Partial",0.5,0))+IF(P66="Covered",1,IF(P66="Partial",0.5,0))+IF(P68="Covered",1,IF(P68="Partial",0.5,0))+IF(P69="Covered",1,IF(P69="Partial",0.5,0))+IF(P70="Covered",1,IF(P70="Partial",0.5,0))+IF(P71="Covered",1,IF(P71="Partial",0.5,0))+IF(P72="Covered",1,IF(P72="Partial",0.5,0))+IF(P73="Covered",1,IF(P73="Partial",0.5,0))+IF(P75="Covered",1,IF(P75="Partial",0.5,0))+IF(P76="Covered",1,IF(P76="Partial",0.5,0))+IF(P77="Covered",1,IF(P77="Partial",0.5,0))+IF(P78="Covered",1,IF(P78="Partial",0.5,0))+IF(P80="Covered",1,IF(P80="Partial",0.5,0))+IF(P82="Covered",1,IF(P82="Partial",0.5,0))+IF(P83="Covered",1,IF(P83="Partial",0.5,0))+IF(P84="Covered",1,IF(P84="Partial",0.5,0)))/16</f>
        <v/>
      </c>
      <c r="Q20" s="23">
        <f>(IF(Q65="Covered",1,IF(Q65="Partial",0.5,0))+IF(Q66="Covered",1,IF(Q66="Partial",0.5,0))+IF(Q68="Covered",1,IF(Q68="Partial",0.5,0))+IF(Q69="Covered",1,IF(Q69="Partial",0.5,0))+IF(Q70="Covered",1,IF(Q70="Partial",0.5,0))+IF(Q71="Covered",1,IF(Q71="Partial",0.5,0))+IF(Q72="Covered",1,IF(Q72="Partial",0.5,0))+IF(Q73="Covered",1,IF(Q73="Partial",0.5,0))+IF(Q75="Covered",1,IF(Q75="Partial",0.5,0))+IF(Q76="Covered",1,IF(Q76="Partial",0.5,0))+IF(Q77="Covered",1,IF(Q77="Partial",0.5,0))+IF(Q78="Covered",1,IF(Q78="Partial",0.5,0))+IF(Q80="Covered",1,IF(Q80="Partial",0.5,0))+IF(Q82="Covered",1,IF(Q82="Partial",0.5,0))+IF(Q83="Covered",1,IF(Q83="Partial",0.5,0))+IF(Q84="Covered",1,IF(Q84="Partial",0.5,0)))/16</f>
        <v/>
      </c>
      <c r="R20" s="23">
        <f>(IF(R65="Covered",1,IF(R65="Partial",0.5,0))+IF(R66="Covered",1,IF(R66="Partial",0.5,0))+IF(R68="Covered",1,IF(R68="Partial",0.5,0))+IF(R69="Covered",1,IF(R69="Partial",0.5,0))+IF(R70="Covered",1,IF(R70="Partial",0.5,0))+IF(R71="Covered",1,IF(R71="Partial",0.5,0))+IF(R72="Covered",1,IF(R72="Partial",0.5,0))+IF(R73="Covered",1,IF(R73="Partial",0.5,0))+IF(R75="Covered",1,IF(R75="Partial",0.5,0))+IF(R76="Covered",1,IF(R76="Partial",0.5,0))+IF(R77="Covered",1,IF(R77="Partial",0.5,0))+IF(R78="Covered",1,IF(R78="Partial",0.5,0))+IF(R80="Covered",1,IF(R80="Partial",0.5,0))+IF(R82="Covered",1,IF(R82="Partial",0.5,0))+IF(R83="Covered",1,IF(R83="Partial",0.5,0))+IF(R84="Covered",1,IF(R84="Partial",0.5,0)))/16</f>
        <v/>
      </c>
      <c r="S20" s="23">
        <f>(IF(S65="Covered",1,IF(S65="Partial",0.5,0))+IF(S66="Covered",1,IF(S66="Partial",0.5,0))+IF(S68="Covered",1,IF(S68="Partial",0.5,0))+IF(S69="Covered",1,IF(S69="Partial",0.5,0))+IF(S70="Covered",1,IF(S70="Partial",0.5,0))+IF(S71="Covered",1,IF(S71="Partial",0.5,0))+IF(S72="Covered",1,IF(S72="Partial",0.5,0))+IF(S73="Covered",1,IF(S73="Partial",0.5,0))+IF(S75="Covered",1,IF(S75="Partial",0.5,0))+IF(S76="Covered",1,IF(S76="Partial",0.5,0))+IF(S77="Covered",1,IF(S77="Partial",0.5,0))+IF(S78="Covered",1,IF(S78="Partial",0.5,0))+IF(S80="Covered",1,IF(S80="Partial",0.5,0))+IF(S82="Covered",1,IF(S82="Partial",0.5,0))+IF(S83="Covered",1,IF(S83="Partial",0.5,0))+IF(S84="Covered",1,IF(S84="Partial",0.5,0)))/16</f>
        <v/>
      </c>
    </row>
    <row r="22" ht="22" customHeight="1">
      <c r="B22" s="24" t="inlineStr">
        <is>
          <t>1  ·  HCHB INTEGRATION   —   25 points   ·   pick one rung from A1</t>
        </is>
      </c>
    </row>
    <row r="23" ht="30" customHeight="1">
      <c r="B23" s="14" t="inlineStr">
        <is>
          <t>Rung</t>
        </is>
      </c>
      <c r="C23" s="8" t="inlineStr">
        <is>
          <t>A1</t>
        </is>
      </c>
      <c r="D23" s="25" t="n"/>
      <c r="E23" s="25" t="n"/>
      <c r="F23" s="25" t="n"/>
      <c r="G23" s="25" t="n"/>
      <c r="H23" s="25" t="n"/>
      <c r="I23" s="25" t="n"/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  <c r="S23" s="25" t="n"/>
    </row>
    <row r="24">
      <c r="B24" s="10" t="inlineStr">
        <is>
          <t>Sync latency addressed?</t>
        </is>
      </c>
      <c r="C24" s="26" t="inlineStr">
        <is>
          <t>caps at 20 if No</t>
        </is>
      </c>
      <c r="D24" s="25" t="inlineStr">
        <is>
          <t>Yes</t>
        </is>
      </c>
      <c r="E24" s="25" t="inlineStr">
        <is>
          <t>Yes</t>
        </is>
      </c>
      <c r="F24" s="25" t="inlineStr">
        <is>
          <t>Yes</t>
        </is>
      </c>
      <c r="G24" s="25" t="inlineStr">
        <is>
          <t>Yes</t>
        </is>
      </c>
      <c r="H24" s="25" t="inlineStr">
        <is>
          <t>Yes</t>
        </is>
      </c>
      <c r="I24" s="25" t="inlineStr">
        <is>
          <t>Yes</t>
        </is>
      </c>
      <c r="J24" s="25" t="inlineStr">
        <is>
          <t>Yes</t>
        </is>
      </c>
      <c r="K24" s="25" t="inlineStr">
        <is>
          <t>Yes</t>
        </is>
      </c>
      <c r="L24" s="25" t="inlineStr">
        <is>
          <t>Yes</t>
        </is>
      </c>
      <c r="M24" s="25" t="inlineStr">
        <is>
          <t>Yes</t>
        </is>
      </c>
      <c r="N24" s="25" t="inlineStr">
        <is>
          <t>Yes</t>
        </is>
      </c>
      <c r="O24" s="25" t="inlineStr">
        <is>
          <t>Yes</t>
        </is>
      </c>
      <c r="P24" s="25" t="inlineStr">
        <is>
          <t>Yes</t>
        </is>
      </c>
      <c r="Q24" s="25" t="inlineStr">
        <is>
          <t>Yes</t>
        </is>
      </c>
      <c r="R24" s="25" t="inlineStr">
        <is>
          <t>Yes</t>
        </is>
      </c>
      <c r="S24" s="25" t="inlineStr">
        <is>
          <t>Yes</t>
        </is>
      </c>
    </row>
    <row r="26" ht="22" customHeight="1">
      <c r="B26" s="6" t="inlineStr">
        <is>
          <t>2  ·  SCOPE FOOTPRINT   —   30 points   ·   Covered 1.0  ·  Partial 0.5  ·  — 0</t>
        </is>
      </c>
    </row>
    <row r="27" ht="19" customHeight="1">
      <c r="B27" s="27" t="inlineStr">
        <is>
          <t>CAPACITY MANAGEMENT   ·   11 elements   ·   10 points</t>
        </is>
      </c>
    </row>
    <row r="28">
      <c r="B28" s="28" t="inlineStr">
        <is>
          <t>Workforce supply</t>
        </is>
      </c>
      <c r="C28" s="29" t="inlineStr">
        <is>
          <t>B1</t>
        </is>
      </c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  <c r="O28" s="30" t="n"/>
      <c r="P28" s="30" t="n"/>
      <c r="Q28" s="30" t="n"/>
      <c r="R28" s="30" t="n"/>
      <c r="S28" s="30" t="n"/>
    </row>
    <row r="29" ht="15" customHeight="1">
      <c r="B29" s="31" t="inlineStr">
        <is>
          <t>Roster by discipline, role (assessing vs. assistant), FTE and employment type</t>
        </is>
      </c>
      <c r="C29" s="32" t="inlineStr">
        <is>
          <t>CAP-01</t>
        </is>
      </c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</row>
    <row r="30" ht="15" customHeight="1">
      <c r="B30" s="31" t="inlineStr">
        <is>
          <t>Start-of-care capable clinicians, measured as their own distinct capacity</t>
        </is>
      </c>
      <c r="C30" s="32" t="inlineStr">
        <is>
          <t>CAP-02</t>
        </is>
      </c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</row>
    <row r="31" ht="15" customHeight="1">
      <c r="B31" s="31" t="inlineStr">
        <is>
          <t>Specialty competencies, plus orientation and ramp status</t>
        </is>
      </c>
      <c r="C31" s="32" t="inlineStr">
        <is>
          <t>CAP-03</t>
        </is>
      </c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  <c r="O31" s="25" t="n"/>
      <c r="P31" s="25" t="n"/>
      <c r="Q31" s="25" t="n"/>
      <c r="R31" s="25" t="n"/>
      <c r="S31" s="25" t="n"/>
    </row>
    <row r="32" ht="15" customHeight="1">
      <c r="B32" s="31" t="inlineStr">
        <is>
          <t>Per-diem and float pool</t>
        </is>
      </c>
      <c r="C32" s="32" t="inlineStr">
        <is>
          <t>CAP-04</t>
        </is>
      </c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</row>
    <row r="33" ht="15" customHeight="1">
      <c r="B33" s="31" t="inlineStr">
        <is>
          <t>On-call and weekend rotation load</t>
        </is>
      </c>
      <c r="C33" s="32" t="inlineStr">
        <is>
          <t>CAP-05</t>
        </is>
      </c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25" t="n"/>
      <c r="Q33" s="25" t="n"/>
      <c r="R33" s="25" t="n"/>
      <c r="S33" s="25" t="n"/>
    </row>
    <row r="34">
      <c r="B34" s="28" t="inlineStr">
        <is>
          <t>Availability &amp; reach</t>
        </is>
      </c>
      <c r="C34" s="29" t="inlineStr">
        <is>
          <t>B2</t>
        </is>
      </c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0" t="n"/>
      <c r="N34" s="30" t="n"/>
      <c r="O34" s="30" t="n"/>
      <c r="P34" s="30" t="n"/>
      <c r="Q34" s="30" t="n"/>
      <c r="R34" s="30" t="n"/>
      <c r="S34" s="30" t="n"/>
    </row>
    <row r="35" ht="15" customHeight="1">
      <c r="B35" s="31" t="inlineStr">
        <is>
          <t>Approved time off and working availability</t>
        </is>
      </c>
      <c r="C35" s="32" t="inlineStr">
        <is>
          <t>CAP-06</t>
        </is>
      </c>
      <c r="D35" s="25" t="n"/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</row>
    <row r="36" ht="15" customHeight="1">
      <c r="B36" s="31" t="inlineStr">
        <is>
          <t>Clinician territory assignment by zip, against branch coverage area</t>
        </is>
      </c>
      <c r="C36" s="32" t="inlineStr">
        <is>
          <t>CAP-07</t>
        </is>
      </c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5" t="n"/>
    </row>
    <row r="37" ht="15" customHeight="1">
      <c r="B37" s="31" t="inlineStr">
        <is>
          <t>Reachability from the clinician's home base, measured by drive time</t>
        </is>
      </c>
      <c r="C37" s="32" t="inlineStr">
        <is>
          <t>CAP-08</t>
        </is>
      </c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n"/>
    </row>
    <row r="38">
      <c r="B38" s="28" t="inlineStr">
        <is>
          <t>The capacity math</t>
        </is>
      </c>
      <c r="C38" s="29" t="inlineStr">
        <is>
          <t>B3</t>
        </is>
      </c>
      <c r="D38" s="30" t="n"/>
      <c r="E38" s="30" t="n"/>
      <c r="F38" s="30" t="n"/>
      <c r="G38" s="30" t="n"/>
      <c r="H38" s="30" t="n"/>
      <c r="I38" s="30" t="n"/>
      <c r="J38" s="30" t="n"/>
      <c r="K38" s="30" t="n"/>
      <c r="L38" s="30" t="n"/>
      <c r="M38" s="30" t="n"/>
      <c r="N38" s="30" t="n"/>
      <c r="O38" s="30" t="n"/>
      <c r="P38" s="30" t="n"/>
      <c r="Q38" s="30" t="n"/>
      <c r="R38" s="30" t="n"/>
      <c r="S38" s="30" t="n"/>
    </row>
    <row r="39" ht="15" customHeight="1">
      <c r="B39" s="31" t="inlineStr">
        <is>
          <t>Visit weighting — the point value per visit type, and the productivity target and ceiling it is measured against</t>
        </is>
      </c>
      <c r="C39" s="32" t="inlineStr">
        <is>
          <t>CAP-09</t>
        </is>
      </c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25" t="n"/>
      <c r="P39" s="25" t="n"/>
      <c r="Q39" s="25" t="n"/>
      <c r="R39" s="25" t="n"/>
      <c r="S39" s="25" t="n"/>
    </row>
    <row r="40" ht="15" customHeight="1">
      <c r="B40" s="31" t="inlineStr">
        <is>
          <t>Committed load vs. open room, by day, week, discipline and territory</t>
        </is>
      </c>
      <c r="C40" s="32" t="inlineStr">
        <is>
          <t>CAP-10</t>
        </is>
      </c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  <c r="S40" s="25" t="n"/>
    </row>
    <row r="41" ht="15" customHeight="1">
      <c r="B41" s="31" t="inlineStr">
        <is>
          <t>Referral inflow and discharge outflow against the envelope</t>
        </is>
      </c>
      <c r="C41" s="32" t="inlineStr">
        <is>
          <t>CAP-11</t>
        </is>
      </c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  <c r="O41" s="25" t="n"/>
      <c r="P41" s="25" t="n"/>
      <c r="Q41" s="25" t="n"/>
      <c r="R41" s="25" t="n"/>
      <c r="S41" s="25" t="n"/>
    </row>
    <row r="43" ht="19" customHeight="1">
      <c r="B43" s="33" t="inlineStr">
        <is>
          <t>SCHEDULING ENGINE   ·   14 elements   ·   10 points</t>
        </is>
      </c>
    </row>
    <row r="44">
      <c r="B44" s="28" t="inlineStr">
        <is>
          <t>Demand</t>
        </is>
      </c>
      <c r="C44" s="29" t="inlineStr">
        <is>
          <t>B4</t>
        </is>
      </c>
      <c r="D44" s="30" t="n"/>
      <c r="E44" s="30" t="n"/>
      <c r="F44" s="30" t="n"/>
      <c r="G44" s="30" t="n"/>
      <c r="H44" s="30" t="n"/>
      <c r="I44" s="30" t="n"/>
      <c r="J44" s="30" t="n"/>
      <c r="K44" s="30" t="n"/>
      <c r="L44" s="30" t="n"/>
      <c r="M44" s="30" t="n"/>
      <c r="N44" s="30" t="n"/>
      <c r="O44" s="30" t="n"/>
      <c r="P44" s="30" t="n"/>
      <c r="Q44" s="30" t="n"/>
      <c r="R44" s="30" t="n"/>
      <c r="S44" s="30" t="n"/>
    </row>
    <row r="45" ht="15" customHeight="1">
      <c r="B45" s="31" t="inlineStr">
        <is>
          <t>Plan-of-care orders, ordered frequency and visit types, from the EMR (Home Care Home Base) and the intake platform</t>
        </is>
      </c>
      <c r="C45" s="34" t="inlineStr">
        <is>
          <t>SCH-01</t>
        </is>
      </c>
      <c r="D45" s="25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</row>
    <row r="46" ht="15" customHeight="1">
      <c r="B46" s="31" t="inlineStr">
        <is>
          <t>Authorization status and payer rules attached to each visit</t>
        </is>
      </c>
      <c r="C46" s="34" t="inlineStr">
        <is>
          <t>SCH-02</t>
        </is>
      </c>
      <c r="D46" s="25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</row>
    <row r="47" ht="15" customHeight="1">
      <c r="B47" s="31" t="inlineStr">
        <is>
          <t>Order, consent and readiness state — what is schedulable, not merely ordered</t>
        </is>
      </c>
      <c r="C47" s="34" t="inlineStr">
        <is>
          <t>SCH-03</t>
        </is>
      </c>
      <c r="D47" s="25" t="n"/>
      <c r="E47" s="25" t="n"/>
      <c r="F47" s="25" t="n"/>
      <c r="G47" s="25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</row>
    <row r="48" ht="15" customHeight="1">
      <c r="B48" s="31" t="inlineStr">
        <is>
          <t>The compliance window each visit has to fall inside</t>
        </is>
      </c>
      <c r="C48" s="34" t="inlineStr">
        <is>
          <t>SCH-04</t>
        </is>
      </c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</row>
    <row r="49">
      <c r="B49" s="28" t="inlineStr">
        <is>
          <t>Matching</t>
        </is>
      </c>
      <c r="C49" s="29" t="inlineStr">
        <is>
          <t>B5</t>
        </is>
      </c>
      <c r="D49" s="30" t="n"/>
      <c r="E49" s="30" t="n"/>
      <c r="F49" s="30" t="n"/>
      <c r="G49" s="30" t="n"/>
      <c r="H49" s="30" t="n"/>
      <c r="I49" s="30" t="n"/>
      <c r="J49" s="30" t="n"/>
      <c r="K49" s="30" t="n"/>
      <c r="L49" s="30" t="n"/>
      <c r="M49" s="30" t="n"/>
      <c r="N49" s="30" t="n"/>
      <c r="O49" s="30" t="n"/>
      <c r="P49" s="30" t="n"/>
      <c r="Q49" s="30" t="n"/>
      <c r="R49" s="30" t="n"/>
      <c r="S49" s="30" t="n"/>
    </row>
    <row r="50" ht="15" customHeight="1">
      <c r="B50" s="31" t="inlineStr">
        <is>
          <t>Discipline and role match, specialty competency, acuity to skill level</t>
        </is>
      </c>
      <c r="C50" s="34" t="inlineStr">
        <is>
          <t>SCH-05</t>
        </is>
      </c>
      <c r="D50" s="25" t="n"/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 t="n"/>
      <c r="N50" s="25" t="n"/>
      <c r="O50" s="25" t="n"/>
      <c r="P50" s="25" t="n"/>
      <c r="Q50" s="25" t="n"/>
      <c r="R50" s="25" t="n"/>
      <c r="S50" s="25" t="n"/>
    </row>
    <row r="51" ht="15" customHeight="1">
      <c r="B51" s="31" t="inlineStr">
        <is>
          <t>Clinician working pattern, needs and restrictions</t>
        </is>
      </c>
      <c r="C51" s="34" t="inlineStr">
        <is>
          <t>SCH-06</t>
        </is>
      </c>
      <c r="D51" s="25" t="n"/>
      <c r="E51" s="25" t="n"/>
      <c r="F51" s="25" t="n"/>
      <c r="G51" s="25" t="n"/>
      <c r="H51" s="25" t="n"/>
      <c r="I51" s="25" t="n"/>
      <c r="J51" s="25" t="n"/>
      <c r="K51" s="25" t="n"/>
      <c r="L51" s="25" t="n"/>
      <c r="M51" s="25" t="n"/>
      <c r="N51" s="25" t="n"/>
      <c r="O51" s="25" t="n"/>
      <c r="P51" s="25" t="n"/>
      <c r="Q51" s="25" t="n"/>
      <c r="R51" s="25" t="n"/>
      <c r="S51" s="25" t="n"/>
    </row>
    <row r="52" ht="15" customHeight="1">
      <c r="B52" s="31" t="inlineStr">
        <is>
          <t>Patient and caregiver needs, restrictions and availability, sourced from the patient</t>
        </is>
      </c>
      <c r="C52" s="34" t="inlineStr">
        <is>
          <t>SCH-07</t>
        </is>
      </c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25" t="n"/>
      <c r="O52" s="25" t="n"/>
      <c r="P52" s="25" t="n"/>
      <c r="Q52" s="25" t="n"/>
      <c r="R52" s="25" t="n"/>
      <c r="S52" s="25" t="n"/>
    </row>
    <row r="53" ht="15" customHeight="1">
      <c r="B53" s="31" t="inlineStr">
        <is>
          <t>Clinical timing — diagnosis-driven cadence, competing appointments, infection-control sequencing</t>
        </is>
      </c>
      <c r="C53" s="34" t="inlineStr">
        <is>
          <t>SCH-08</t>
        </is>
      </c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  <c r="O53" s="25" t="n"/>
      <c r="P53" s="25" t="n"/>
      <c r="Q53" s="25" t="n"/>
      <c r="R53" s="25" t="n"/>
      <c r="S53" s="25" t="n"/>
    </row>
    <row r="54" ht="15" customHeight="1">
      <c r="B54" s="31" t="inlineStr">
        <is>
          <t>Continuity of care, and supervisory visit dependencies</t>
        </is>
      </c>
      <c r="C54" s="34" t="inlineStr">
        <is>
          <t>SCH-09</t>
        </is>
      </c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  <c r="O54" s="25" t="n"/>
      <c r="P54" s="25" t="n"/>
      <c r="Q54" s="25" t="n"/>
      <c r="R54" s="25" t="n"/>
      <c r="S54" s="25" t="n"/>
    </row>
    <row r="55">
      <c r="B55" s="28" t="inlineStr">
        <is>
          <t>Routing &amp; the week</t>
        </is>
      </c>
      <c r="C55" s="29" t="inlineStr">
        <is>
          <t>B6</t>
        </is>
      </c>
      <c r="D55" s="30" t="n"/>
      <c r="E55" s="30" t="n"/>
      <c r="F55" s="30" t="n"/>
      <c r="G55" s="30" t="n"/>
      <c r="H55" s="30" t="n"/>
      <c r="I55" s="30" t="n"/>
      <c r="J55" s="30" t="n"/>
      <c r="K55" s="30" t="n"/>
      <c r="L55" s="30" t="n"/>
      <c r="M55" s="30" t="n"/>
      <c r="N55" s="30" t="n"/>
      <c r="O55" s="30" t="n"/>
      <c r="P55" s="30" t="n"/>
      <c r="Q55" s="30" t="n"/>
      <c r="R55" s="30" t="n"/>
      <c r="S55" s="30" t="n"/>
    </row>
    <row r="56" ht="15" customHeight="1">
      <c r="B56" s="31" t="inlineStr">
        <is>
          <t>Home base start and end, route proximity, mileage</t>
        </is>
      </c>
      <c r="C56" s="34" t="inlineStr">
        <is>
          <t>SCH-10</t>
        </is>
      </c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25" t="n"/>
      <c r="O56" s="25" t="n"/>
      <c r="P56" s="25" t="n"/>
      <c r="Q56" s="25" t="n"/>
      <c r="R56" s="25" t="n"/>
      <c r="S56" s="25" t="n"/>
    </row>
    <row r="57" ht="15" customHeight="1">
      <c r="B57" s="31" t="inlineStr">
        <is>
          <t>Appointment time windows and intra-day sequencing</t>
        </is>
      </c>
      <c r="C57" s="34" t="inlineStr">
        <is>
          <t>SCH-11</t>
        </is>
      </c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25" t="n"/>
      <c r="O57" s="25" t="n"/>
      <c r="P57" s="25" t="n"/>
      <c r="Q57" s="25" t="n"/>
      <c r="R57" s="25" t="n"/>
      <c r="S57" s="25" t="n"/>
    </row>
    <row r="58" ht="15" customHeight="1">
      <c r="B58" s="31" t="inlineStr">
        <is>
          <t>Front-loading, pace against the plan of care, day-by-day balancing</t>
        </is>
      </c>
      <c r="C58" s="34" t="inlineStr">
        <is>
          <t>SCH-12</t>
        </is>
      </c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  <c r="R58" s="25" t="n"/>
      <c r="S58" s="25" t="n"/>
    </row>
    <row r="59">
      <c r="B59" s="28" t="inlineStr">
        <is>
          <t>Exceptions</t>
        </is>
      </c>
      <c r="C59" s="29" t="inlineStr">
        <is>
          <t>B7</t>
        </is>
      </c>
      <c r="D59" s="30" t="n"/>
      <c r="E59" s="30" t="n"/>
      <c r="F59" s="30" t="n"/>
      <c r="G59" s="30" t="n"/>
      <c r="H59" s="30" t="n"/>
      <c r="I59" s="30" t="n"/>
      <c r="J59" s="30" t="n"/>
      <c r="K59" s="30" t="n"/>
      <c r="L59" s="30" t="n"/>
      <c r="M59" s="30" t="n"/>
      <c r="N59" s="30" t="n"/>
      <c r="O59" s="30" t="n"/>
      <c r="P59" s="30" t="n"/>
      <c r="Q59" s="30" t="n"/>
      <c r="R59" s="30" t="n"/>
      <c r="S59" s="30" t="n"/>
    </row>
    <row r="60" ht="15" customHeight="1">
      <c r="B60" s="31" t="inlineStr">
        <is>
          <t>Missed-visit management and tracking — and reducing the occurrence</t>
        </is>
      </c>
      <c r="C60" s="34" t="inlineStr">
        <is>
          <t>SCH-13</t>
        </is>
      </c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  <c r="R60" s="25" t="n"/>
      <c r="S60" s="25" t="n"/>
    </row>
    <row r="61" ht="15" customHeight="1">
      <c r="B61" s="31" t="inlineStr">
        <is>
          <t>Reassignment, coverage, and rebooking inside the window</t>
        </is>
      </c>
      <c r="C61" s="34" t="inlineStr">
        <is>
          <t>SCH-14</t>
        </is>
      </c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  <c r="Q61" s="25" t="n"/>
      <c r="R61" s="25" t="n"/>
      <c r="S61" s="25" t="n"/>
    </row>
    <row r="63" ht="19" customHeight="1">
      <c r="B63" s="35" t="inlineStr">
        <is>
          <t>ENGAGEMENT   ·   16 elements   ·   10 points</t>
        </is>
      </c>
    </row>
    <row r="64">
      <c r="B64" s="28" t="inlineStr">
        <is>
          <t>How this should run</t>
        </is>
      </c>
      <c r="C64" s="29" t="inlineStr">
        <is>
          <t>C7 · D1</t>
        </is>
      </c>
      <c r="D64" s="30" t="n"/>
      <c r="E64" s="30" t="n"/>
      <c r="F64" s="30" t="n"/>
      <c r="G64" s="30" t="n"/>
      <c r="H64" s="30" t="n"/>
      <c r="I64" s="30" t="n"/>
      <c r="J64" s="30" t="n"/>
      <c r="K64" s="30" t="n"/>
      <c r="L64" s="30" t="n"/>
      <c r="M64" s="30" t="n"/>
      <c r="N64" s="30" t="n"/>
      <c r="O64" s="30" t="n"/>
      <c r="P64" s="30" t="n"/>
      <c r="Q64" s="30" t="n"/>
      <c r="R64" s="30" t="n"/>
      <c r="S64" s="30" t="n"/>
    </row>
    <row r="65" ht="15" customHeight="1">
      <c r="B65" s="31" t="inlineStr">
        <is>
          <t>Outreach carried by the platform itself — agentic voice, text and email — rather than queued up for a coordinator to work</t>
        </is>
      </c>
      <c r="C65" s="36" t="inlineStr">
        <is>
          <t>ENG-01</t>
        </is>
      </c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  <c r="R65" s="25" t="n"/>
      <c r="S65" s="25" t="n"/>
    </row>
    <row r="66" ht="15" customHeight="1">
      <c r="B66" s="31" t="inlineStr">
        <is>
          <t>Staff able to see it, intervene, override, and take any conversation back</t>
        </is>
      </c>
      <c r="C66" s="36" t="inlineStr">
        <is>
          <t>ENG-02</t>
        </is>
      </c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  <c r="Q66" s="25" t="n"/>
      <c r="R66" s="25" t="n"/>
      <c r="S66" s="25" t="n"/>
    </row>
    <row r="67">
      <c r="B67" s="28" t="inlineStr">
        <is>
          <t>Before the visit</t>
        </is>
      </c>
      <c r="C67" s="29" t="inlineStr">
        <is>
          <t>B8</t>
        </is>
      </c>
      <c r="D67" s="30" t="n"/>
      <c r="E67" s="30" t="n"/>
      <c r="F67" s="30" t="n"/>
      <c r="G67" s="30" t="n"/>
      <c r="H67" s="30" t="n"/>
      <c r="I67" s="30" t="n"/>
      <c r="J67" s="30" t="n"/>
      <c r="K67" s="30" t="n"/>
      <c r="L67" s="30" t="n"/>
      <c r="M67" s="30" t="n"/>
      <c r="N67" s="30" t="n"/>
      <c r="O67" s="30" t="n"/>
      <c r="P67" s="30" t="n"/>
      <c r="Q67" s="30" t="n"/>
      <c r="R67" s="30" t="n"/>
      <c r="S67" s="30" t="n"/>
    </row>
    <row r="68" ht="15" customHeight="1">
      <c r="B68" s="31" t="inlineStr">
        <is>
          <t>New-patient welcome call</t>
        </is>
      </c>
      <c r="C68" s="36" t="inlineStr">
        <is>
          <t>ENG-03</t>
        </is>
      </c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  <c r="R68" s="25" t="n"/>
      <c r="S68" s="25" t="n"/>
    </row>
    <row r="69" ht="15" customHeight="1">
      <c r="B69" s="31" t="inlineStr">
        <is>
          <t>Patient availability captured before the visit is booked</t>
        </is>
      </c>
      <c r="C69" s="36" t="inlineStr">
        <is>
          <t>ENG-04</t>
        </is>
      </c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5" t="n"/>
      <c r="Q69" s="25" t="n"/>
      <c r="R69" s="25" t="n"/>
      <c r="S69" s="25" t="n"/>
    </row>
    <row r="70" ht="15" customHeight="1">
      <c r="B70" s="31" t="inlineStr">
        <is>
          <t>Automated reminders and en-route notification</t>
        </is>
      </c>
      <c r="C70" s="36" t="inlineStr">
        <is>
          <t>ENG-05</t>
        </is>
      </c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/>
      <c r="Q70" s="25" t="n"/>
      <c r="R70" s="25" t="n"/>
      <c r="S70" s="25" t="n"/>
    </row>
    <row r="71" ht="15" customHeight="1">
      <c r="B71" s="31" t="inlineStr">
        <is>
          <t>The day-before confirmation round automated for every patient, every day</t>
        </is>
      </c>
      <c r="C71" s="36" t="inlineStr">
        <is>
          <t>ENG-06</t>
        </is>
      </c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  <c r="R71" s="25" t="n"/>
      <c r="S71" s="25" t="n"/>
    </row>
    <row r="72" ht="15" customHeight="1">
      <c r="B72" s="31" t="inlineStr">
        <is>
          <t>The schedule staying pliable until that confirmation, so clinician and capacity changes can land before the patient is told</t>
        </is>
      </c>
      <c r="C72" s="36" t="inlineStr">
        <is>
          <t>ENG-07</t>
        </is>
      </c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  <c r="Q72" s="25" t="n"/>
      <c r="R72" s="25" t="n"/>
      <c r="S72" s="25" t="n"/>
    </row>
    <row r="73" ht="15" customHeight="1">
      <c r="B73" s="31" t="inlineStr">
        <is>
          <t>Channel and communication-preference management</t>
        </is>
      </c>
      <c r="C73" s="36" t="inlineStr">
        <is>
          <t>ENG-08</t>
        </is>
      </c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  <c r="R73" s="25" t="n"/>
      <c r="S73" s="25" t="n"/>
    </row>
    <row r="74">
      <c r="B74" s="28" t="inlineStr">
        <is>
          <t>When plans change</t>
        </is>
      </c>
      <c r="C74" s="29" t="inlineStr">
        <is>
          <t>B9</t>
        </is>
      </c>
      <c r="D74" s="30" t="n"/>
      <c r="E74" s="30" t="n"/>
      <c r="F74" s="30" t="n"/>
      <c r="G74" s="30" t="n"/>
      <c r="H74" s="30" t="n"/>
      <c r="I74" s="30" t="n"/>
      <c r="J74" s="30" t="n"/>
      <c r="K74" s="30" t="n"/>
      <c r="L74" s="30" t="n"/>
      <c r="M74" s="30" t="n"/>
      <c r="N74" s="30" t="n"/>
      <c r="O74" s="30" t="n"/>
      <c r="P74" s="30" t="n"/>
      <c r="Q74" s="30" t="n"/>
      <c r="R74" s="30" t="n"/>
      <c r="S74" s="30" t="n"/>
    </row>
    <row r="75" ht="15" customHeight="1">
      <c r="B75" s="31" t="inlineStr">
        <is>
          <t>Reschedule coordination with the patient</t>
        </is>
      </c>
      <c r="C75" s="36" t="inlineStr">
        <is>
          <t>ENG-09</t>
        </is>
      </c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  <c r="P75" s="25" t="n"/>
      <c r="Q75" s="25" t="n"/>
      <c r="R75" s="25" t="n"/>
      <c r="S75" s="25" t="n"/>
    </row>
    <row r="76" ht="15" customHeight="1">
      <c r="B76" s="31" t="inlineStr">
        <is>
          <t>Coverage coordination — matching potential clinicians to an open need, and reaching them directly</t>
        </is>
      </c>
      <c r="C76" s="36" t="inlineStr">
        <is>
          <t>ENG-10</t>
        </is>
      </c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  <c r="Q76" s="25" t="n"/>
      <c r="R76" s="25" t="n"/>
      <c r="S76" s="25" t="n"/>
    </row>
    <row r="77" ht="15" customHeight="1">
      <c r="B77" s="31" t="inlineStr">
        <is>
          <t>Call-out coverage, and the urgent or prioritized needs that surface during the day</t>
        </is>
      </c>
      <c r="C77" s="36" t="inlineStr">
        <is>
          <t>ENG-11</t>
        </is>
      </c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5" t="n"/>
      <c r="Q77" s="25" t="n"/>
      <c r="R77" s="25" t="n"/>
      <c r="S77" s="25" t="n"/>
    </row>
    <row r="78" ht="15" customHeight="1">
      <c r="B78" s="31" t="inlineStr">
        <is>
          <t>Failed-visit and no-show follow-up and rebooking</t>
        </is>
      </c>
      <c r="C78" s="36" t="inlineStr">
        <is>
          <t>ENG-13</t>
        </is>
      </c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  <c r="Q78" s="25" t="n"/>
      <c r="R78" s="25" t="n"/>
      <c r="S78" s="25" t="n"/>
    </row>
    <row r="79">
      <c r="B79" s="28" t="inlineStr">
        <is>
          <t>Incentives &amp; offers</t>
        </is>
      </c>
      <c r="C79" s="29" t="inlineStr">
        <is>
          <t>B10</t>
        </is>
      </c>
      <c r="D79" s="30" t="n"/>
      <c r="E79" s="30" t="n"/>
      <c r="F79" s="30" t="n"/>
      <c r="G79" s="30" t="n"/>
      <c r="H79" s="30" t="n"/>
      <c r="I79" s="30" t="n"/>
      <c r="J79" s="30" t="n"/>
      <c r="K79" s="30" t="n"/>
      <c r="L79" s="30" t="n"/>
      <c r="M79" s="30" t="n"/>
      <c r="N79" s="30" t="n"/>
      <c r="O79" s="30" t="n"/>
      <c r="P79" s="30" t="n"/>
      <c r="Q79" s="30" t="n"/>
      <c r="R79" s="30" t="n"/>
      <c r="S79" s="30" t="n"/>
    </row>
    <row r="80" ht="15" customHeight="1">
      <c r="B80" s="31" t="inlineStr">
        <is>
          <t>Incentives or differentials attached to hard-to-fill visits, and offered to the clinicians who can take them</t>
        </is>
      </c>
      <c r="C80" s="36" t="inlineStr">
        <is>
          <t>ENG-12</t>
        </is>
      </c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5" t="n"/>
      <c r="Q80" s="25" t="n"/>
      <c r="R80" s="25" t="n"/>
      <c r="S80" s="25" t="n"/>
    </row>
    <row r="81">
      <c r="B81" s="28" t="inlineStr">
        <is>
          <t>Across the care team</t>
        </is>
      </c>
      <c r="C81" s="29" t="inlineStr">
        <is>
          <t>B11</t>
        </is>
      </c>
      <c r="D81" s="30" t="n"/>
      <c r="E81" s="30" t="n"/>
      <c r="F81" s="30" t="n"/>
      <c r="G81" s="30" t="n"/>
      <c r="H81" s="30" t="n"/>
      <c r="I81" s="30" t="n"/>
      <c r="J81" s="30" t="n"/>
      <c r="K81" s="30" t="n"/>
      <c r="L81" s="30" t="n"/>
      <c r="M81" s="30" t="n"/>
      <c r="N81" s="30" t="n"/>
      <c r="O81" s="30" t="n"/>
      <c r="P81" s="30" t="n"/>
      <c r="Q81" s="30" t="n"/>
      <c r="R81" s="30" t="n"/>
      <c r="S81" s="30" t="n"/>
    </row>
    <row r="82" ht="15" customHeight="1">
      <c r="B82" s="31" t="inlineStr">
        <is>
          <t>Multi-discipline visit coordination</t>
        </is>
      </c>
      <c r="C82" s="36" t="inlineStr">
        <is>
          <t>ENG-14</t>
        </is>
      </c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  <c r="R82" s="25" t="n"/>
      <c r="S82" s="25" t="n"/>
    </row>
    <row r="83" ht="15" customHeight="1">
      <c r="B83" s="31" t="inlineStr">
        <is>
          <t>Care-team and office coordination updates</t>
        </is>
      </c>
      <c r="C83" s="36" t="inlineStr">
        <is>
          <t>ENG-15</t>
        </is>
      </c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  <c r="O83" s="25" t="n"/>
      <c r="P83" s="25" t="n"/>
      <c r="Q83" s="25" t="n"/>
      <c r="R83" s="25" t="n"/>
      <c r="S83" s="25" t="n"/>
    </row>
    <row r="84" ht="15" customHeight="1">
      <c r="B84" s="31" t="inlineStr">
        <is>
          <t>A clinician view of their own schedule and their own results — the case for the change, made to the person it lands on</t>
        </is>
      </c>
      <c r="C84" s="36" t="inlineStr">
        <is>
          <t>ENG-16</t>
        </is>
      </c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  <c r="P84" s="25" t="n"/>
      <c r="Q84" s="25" t="n"/>
      <c r="R84" s="25" t="n"/>
      <c r="S84" s="25" t="n"/>
    </row>
    <row r="86" ht="22" customHeight="1">
      <c r="B86" s="6" t="inlineStr">
        <is>
          <t>3  ·  SOPHISTICATION   —   20 points   ·   evidence ladder 0–4</t>
        </is>
      </c>
    </row>
    <row r="87" ht="17" customHeight="1">
      <c r="B87" s="10" t="inlineStr">
        <is>
          <t>S1   Automation posture</t>
        </is>
      </c>
      <c r="C87" s="8" t="inlineStr">
        <is>
          <t>B how-it's-done · C7</t>
        </is>
      </c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  <c r="O87" s="25" t="n"/>
      <c r="P87" s="25" t="n"/>
      <c r="Q87" s="25" t="n"/>
      <c r="R87" s="25" t="n"/>
      <c r="S87" s="25" t="n"/>
    </row>
    <row r="88" ht="17" customHeight="1">
      <c r="B88" s="10" t="inlineStr">
        <is>
          <t>S2   Decision depth</t>
        </is>
      </c>
      <c r="C88" s="8" t="inlineStr">
        <is>
          <t>C1 · C2 · C4</t>
        </is>
      </c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5" t="n"/>
      <c r="Q88" s="25" t="n"/>
      <c r="R88" s="25" t="n"/>
      <c r="S88" s="25" t="n"/>
    </row>
    <row r="89" ht="17" customHeight="1">
      <c r="B89" s="10" t="inlineStr">
        <is>
          <t>S3   Readiness &amp; rules</t>
        </is>
      </c>
      <c r="C89" s="8" t="inlineStr">
        <is>
          <t>C3</t>
        </is>
      </c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5" t="n"/>
      <c r="P89" s="25" t="n"/>
      <c r="Q89" s="25" t="n"/>
      <c r="R89" s="25" t="n"/>
      <c r="S89" s="25" t="n"/>
    </row>
    <row r="90" ht="17" customHeight="1">
      <c r="B90" s="10" t="inlineStr">
        <is>
          <t>S4   Recovery</t>
        </is>
      </c>
      <c r="C90" s="8" t="inlineStr">
        <is>
          <t>C5</t>
        </is>
      </c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  <c r="P90" s="25" t="n"/>
      <c r="Q90" s="25" t="n"/>
      <c r="R90" s="25" t="n"/>
      <c r="S90" s="25" t="n"/>
    </row>
    <row r="91" ht="17" customHeight="1">
      <c r="B91" s="10" t="inlineStr">
        <is>
          <t>S5   Enterprise trust</t>
        </is>
      </c>
      <c r="C91" s="8" t="inlineStr">
        <is>
          <t>C6 · A2 · A3</t>
        </is>
      </c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  <c r="P91" s="25" t="n"/>
      <c r="Q91" s="25" t="n"/>
      <c r="R91" s="25" t="n"/>
      <c r="S91" s="25" t="n"/>
    </row>
    <row r="93" ht="22" customHeight="1">
      <c r="B93" s="6" t="inlineStr">
        <is>
          <t>4  ·  CLINICIAN &amp; ADOPTION   —   10 points   ·   evidence ladder 0–4</t>
        </is>
      </c>
    </row>
    <row r="94" ht="17" customHeight="1">
      <c r="B94" s="10" t="inlineStr">
        <is>
          <t>D1   What the clinician decides</t>
        </is>
      </c>
      <c r="C94" s="8" t="inlineStr">
        <is>
          <t>D1</t>
        </is>
      </c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25" t="n"/>
      <c r="S94" s="25" t="n"/>
    </row>
    <row r="95" ht="17" customHeight="1">
      <c r="B95" s="10" t="inlineStr">
        <is>
          <t>D2   Decide or advise</t>
        </is>
      </c>
      <c r="C95" s="8" t="inlineStr">
        <is>
          <t>D2</t>
        </is>
      </c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  <c r="P95" s="25" t="n"/>
      <c r="Q95" s="25" t="n"/>
      <c r="R95" s="25" t="n"/>
      <c r="S95" s="25" t="n"/>
    </row>
    <row r="96" ht="17" customHeight="1">
      <c r="B96" s="10" t="inlineStr">
        <is>
          <t>D3   Adoption evidence</t>
        </is>
      </c>
      <c r="C96" s="8" t="inlineStr">
        <is>
          <t>D3</t>
        </is>
      </c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  <c r="P96" s="25" t="n"/>
      <c r="Q96" s="25" t="n"/>
      <c r="R96" s="25" t="n"/>
      <c r="S96" s="25" t="n"/>
    </row>
    <row r="98" ht="22" customHeight="1">
      <c r="B98" s="6" t="inlineStr">
        <is>
          <t>5  ·  PARTNERSHIP   —   15 points   ·   evidence ladder 0–4</t>
        </is>
      </c>
    </row>
    <row r="99" ht="17" customHeight="1">
      <c r="B99" s="10" t="inlineStr">
        <is>
          <t>P1   Sharing in the value</t>
        </is>
      </c>
      <c r="C99" s="8" t="inlineStr">
        <is>
          <t>E2</t>
        </is>
      </c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  <c r="O99" s="25" t="n"/>
      <c r="P99" s="25" t="n"/>
      <c r="Q99" s="25" t="n"/>
      <c r="R99" s="25" t="n"/>
      <c r="S99" s="25" t="n"/>
    </row>
    <row r="100" ht="17" customHeight="1">
      <c r="B100" s="10" t="inlineStr">
        <is>
          <t>P2   Deployment &amp; change management</t>
        </is>
      </c>
      <c r="C100" s="8" t="inlineStr">
        <is>
          <t>E3</t>
        </is>
      </c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5" t="n"/>
      <c r="Q100" s="25" t="n"/>
      <c r="R100" s="25" t="n"/>
      <c r="S100" s="25" t="n"/>
    </row>
    <row r="101" ht="17" customHeight="1">
      <c r="B101" s="10" t="inlineStr">
        <is>
          <t>P3   What we did not ask</t>
        </is>
      </c>
      <c r="C101" s="8" t="inlineStr">
        <is>
          <t>E1</t>
        </is>
      </c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25" t="n"/>
      <c r="P101" s="25" t="n"/>
      <c r="Q101" s="25" t="n"/>
      <c r="R101" s="25" t="n"/>
      <c r="S101" s="25" t="n"/>
    </row>
    <row r="102" ht="17" customHeight="1">
      <c r="B102" s="10" t="inlineStr">
        <is>
          <t>P4   What they chose not to build</t>
        </is>
      </c>
      <c r="C102" s="8" t="inlineStr">
        <is>
          <t>E4</t>
        </is>
      </c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  <c r="P102" s="25" t="n"/>
      <c r="Q102" s="25" t="n"/>
      <c r="R102" s="25" t="n"/>
      <c r="S102" s="25" t="n"/>
    </row>
    <row r="104" ht="22" customHeight="1">
      <c r="B104" s="37" t="inlineStr">
        <is>
          <t>NOT SCORED   —   carried next to the number, and often decides more than it does</t>
        </is>
      </c>
    </row>
    <row r="105" ht="84" customHeight="1">
      <c r="B105" s="38" t="inlineStr">
        <is>
          <t>⭐  Differentiators</t>
        </is>
      </c>
      <c r="C105" s="39" t="inlineStr">
        <is>
          <t>3–5 lines. Against the field, and against our thinking.</t>
        </is>
      </c>
      <c r="D105" s="40" t="n"/>
      <c r="E105" s="40" t="n"/>
      <c r="F105" s="40" t="n"/>
      <c r="G105" s="40" t="n"/>
      <c r="H105" s="40" t="n"/>
      <c r="I105" s="40" t="n"/>
      <c r="J105" s="40" t="n"/>
      <c r="K105" s="40" t="n"/>
      <c r="L105" s="40" t="n"/>
      <c r="M105" s="40" t="n"/>
      <c r="N105" s="40" t="n"/>
      <c r="O105" s="40" t="n"/>
      <c r="P105" s="40" t="n"/>
      <c r="Q105" s="40" t="n"/>
      <c r="R105" s="40" t="n"/>
      <c r="S105" s="40" t="n"/>
    </row>
    <row r="106" ht="68" customHeight="1">
      <c r="B106" s="38" t="inlineStr">
        <is>
          <t>🚩  Flags</t>
        </is>
      </c>
      <c r="C106" s="39" t="inlineStr">
        <is>
          <t>🔴 stop-check  ·  🟡 watch</t>
        </is>
      </c>
      <c r="D106" s="40" t="n"/>
      <c r="E106" s="40" t="n"/>
      <c r="F106" s="40" t="n"/>
      <c r="G106" s="40" t="n"/>
      <c r="H106" s="40" t="n"/>
      <c r="I106" s="40" t="n"/>
      <c r="J106" s="40" t="n"/>
      <c r="K106" s="40" t="n"/>
      <c r="L106" s="40" t="n"/>
      <c r="M106" s="40" t="n"/>
      <c r="N106" s="40" t="n"/>
      <c r="O106" s="40" t="n"/>
      <c r="P106" s="40" t="n"/>
      <c r="Q106" s="40" t="n"/>
      <c r="R106" s="40" t="n"/>
      <c r="S106" s="40" t="n"/>
    </row>
    <row r="107" ht="68" customHeight="1">
      <c r="B107" s="38" t="inlineStr">
        <is>
          <t>❓  Unknowns</t>
        </is>
      </c>
      <c r="C107" s="39" t="inlineStr">
        <is>
          <t>What they did not answer. This becomes the demo agenda.</t>
        </is>
      </c>
      <c r="D107" s="40" t="n"/>
      <c r="E107" s="40" t="n"/>
      <c r="F107" s="40" t="n"/>
      <c r="G107" s="40" t="n"/>
      <c r="H107" s="40" t="n"/>
      <c r="I107" s="40" t="n"/>
      <c r="J107" s="40" t="n"/>
      <c r="K107" s="40" t="n"/>
      <c r="L107" s="40" t="n"/>
      <c r="M107" s="40" t="n"/>
      <c r="N107" s="40" t="n"/>
      <c r="O107" s="40" t="n"/>
      <c r="P107" s="40" t="n"/>
      <c r="Q107" s="40" t="n"/>
      <c r="R107" s="40" t="n"/>
      <c r="S107" s="40" t="n"/>
    </row>
  </sheetData>
  <mergeCells count="11">
    <mergeCell ref="B86:S86"/>
    <mergeCell ref="B104:S104"/>
    <mergeCell ref="B43:S43"/>
    <mergeCell ref="B22:S22"/>
    <mergeCell ref="B98:S98"/>
    <mergeCell ref="B93:S93"/>
    <mergeCell ref="B63:S63"/>
    <mergeCell ref="B27:S27"/>
    <mergeCell ref="B8:S8"/>
    <mergeCell ref="B4:S4"/>
    <mergeCell ref="B26:S26"/>
  </mergeCells>
  <conditionalFormatting sqref="D14:S14">
    <cfRule type="colorScale" priority="1">
      <colorScale>
        <cfvo type="num" val="40"/>
        <cfvo type="num" val="65"/>
        <cfvo type="num" val="90"/>
        <color rgb="00F5E3E3"/>
        <color rgb="00FBF3DD"/>
        <color rgb="00DDEBE0"/>
      </colorScale>
    </cfRule>
  </conditionalFormatting>
  <conditionalFormatting sqref="D15:S15">
    <cfRule type="expression" priority="2" dxfId="0">
      <formula>ISNUMBER(SEARCH("Conditional",D15))</formula>
    </cfRule>
  </conditionalFormatting>
  <conditionalFormatting sqref="D18:S18">
    <cfRule type="colorScale" priority="3">
      <colorScale>
        <cfvo type="num" val="0"/>
        <cfvo type="num" val="1"/>
        <color rgb="00FFFFFF"/>
        <color rgb="001F6F78"/>
      </colorScale>
    </cfRule>
  </conditionalFormatting>
  <conditionalFormatting sqref="D19:S19">
    <cfRule type="colorScale" priority="4">
      <colorScale>
        <cfvo type="num" val="0"/>
        <cfvo type="num" val="1"/>
        <color rgb="00FFFFFF"/>
        <color rgb="002E599D"/>
      </colorScale>
    </cfRule>
  </conditionalFormatting>
  <conditionalFormatting sqref="D20:S20">
    <cfRule type="colorScale" priority="5">
      <colorScale>
        <cfvo type="num" val="0"/>
        <cfvo type="num" val="1"/>
        <color rgb="00FFFFFF"/>
        <color rgb="004E8A5B"/>
      </colorScale>
    </cfRule>
  </conditionalFormatting>
  <dataValidations count="4">
    <dataValidation sqref="D23:S23" showDropDown="0" showInputMessage="0" showErrorMessage="0" allowBlank="1" promptTitle="HCHB rung" prompt="Tick one rung from A1. If ambiguous, take the lower one and flag it." type="list">
      <formula1>=Lists!$B$2:$B$7</formula1>
    </dataValidation>
    <dataValidation sqref="D24:S24" showDropDown="0" showInputMessage="0" showErrorMessage="0" allowBlank="1" type="list">
      <formula1>"Yes,No"</formula1>
    </dataValidation>
    <dataValidation sqref="D29:S29 D30:S30 D31:S31 D32:S32 D33:S33 D35:S35 D36:S36 D37:S37 D39:S39 D40:S40 D41:S41 D45:S45 D46:S46 D47:S47 D48:S48 D50:S50 D51:S51 D52:S52 D53:S53 D54:S54 D56:S56 D57:S57 D58:S58 D60:S60 D61:S61 D65:S65 D66:S66 D68:S68 D69:S69 D70:S70 D71:S71 D72:S72 D73:S73 D75:S75 D76:S76 D77:S77 D78:S78 D80:S80 D82:S82 D83:S83 D84:S84" showDropDown="0" showInputMessage="0" showErrorMessage="0" allowBlank="1" promptTitle="Footprint mark" prompt="Covered = does it today, cited.  Partial = adjacent, partner, roadmapped, or claimed with no detail.  — = not covered." type="list">
      <formula1>"Covered,Partial,—"</formula1>
    </dataValidation>
    <dataValidation sqref="D87:S87 D88:S88 D89:S89 D90:S90 D91:S91 D94:S94 D95:S95 D96:S96 D99:S99 D100:S100 D101:S101 D102:S102" showDropDown="0" showInputMessage="0" showErrorMessage="0" allowBlank="1" promptTitle="Evidence ladder" prompt="0 not addressed · 1 asserted · 2 described · 3 mechanism · 4 proven" type="list">
      <formula1>=Lists!$E$2:$E$6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3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2" customWidth="1" min="3" max="3"/>
    <col width="96" customWidth="1" min="4" max="4"/>
  </cols>
  <sheetData>
    <row r="2">
      <c r="B2" s="2" t="inlineStr">
        <is>
          <t>How to score</t>
        </is>
      </c>
    </row>
    <row r="3">
      <c r="B3" s="41" t="inlineStr">
        <is>
          <t>Every part is a percentage times a budget. Part 1 is the one exception — a checkbox ladder, so the leadership priority cannot drift.</t>
        </is>
      </c>
    </row>
    <row r="5" ht="20" customHeight="1">
      <c r="B5" s="42" t="inlineStr">
        <is>
          <t>THE FIVE PARTS</t>
        </is>
      </c>
    </row>
    <row r="6">
      <c r="B6" s="28" t="inlineStr">
        <is>
          <t>Part</t>
        </is>
      </c>
      <c r="C6" s="43" t="inlineStr">
        <is>
          <t>Points</t>
        </is>
      </c>
      <c r="D6" s="28" t="inlineStr">
        <is>
          <t>Answered from</t>
        </is>
      </c>
    </row>
    <row r="7" ht="26" customHeight="1">
      <c r="B7" s="10" t="inlineStr">
        <is>
          <t>1 · HCHB Integration</t>
        </is>
      </c>
      <c r="C7" s="44" t="inlineStr">
        <is>
          <t>25</t>
        </is>
      </c>
      <c r="D7" s="45" t="inlineStr">
        <is>
          <t>A1 — tick one rung. Ambiguous → take the lower rung and raise a flag. An answer silent on sync latency caps at 20.</t>
        </is>
      </c>
    </row>
    <row r="8" ht="26" customHeight="1">
      <c r="B8" s="10" t="inlineStr">
        <is>
          <t>2 · Scope Footprint</t>
        </is>
      </c>
      <c r="C8" s="44" t="inlineStr">
        <is>
          <t>30</t>
        </is>
      </c>
      <c r="D8" s="45" t="inlineStr">
        <is>
          <t>Section B is the claim, Section C is the evidence. 41 elements, 10 points per arena. Cite or it is a Partial.</t>
        </is>
      </c>
    </row>
    <row r="9" ht="26" customHeight="1">
      <c r="B9" s="10" t="inlineStr">
        <is>
          <t>3 · Sophistication</t>
        </is>
      </c>
      <c r="C9" s="44" t="inlineStr">
        <is>
          <t>20</t>
        </is>
      </c>
      <c r="D9" s="45" t="inlineStr">
        <is>
          <t>C1–C7 plus A2/A3. Five dimensions on the evidence ladder.</t>
        </is>
      </c>
    </row>
    <row r="10" ht="26" customHeight="1">
      <c r="B10" s="10" t="inlineStr">
        <is>
          <t>4 · Clinician &amp; Adoption</t>
        </is>
      </c>
      <c r="C10" s="44" t="inlineStr">
        <is>
          <t>10</t>
        </is>
      </c>
      <c r="D10" s="45" t="inlineStr">
        <is>
          <t>Section D. Adoption, more than algorithm quality, decides this.</t>
        </is>
      </c>
    </row>
    <row r="11" ht="26" customHeight="1">
      <c r="B11" s="10" t="inlineStr">
        <is>
          <t>5 · Partnership</t>
        </is>
      </c>
      <c r="C11" s="44" t="inlineStr">
        <is>
          <t>15</t>
        </is>
      </c>
      <c r="D11" s="45" t="inlineStr">
        <is>
          <t>Section E. An offer with structure is a 3–4; 'open to discussing' is a 1.</t>
        </is>
      </c>
    </row>
    <row r="12" ht="26" customHeight="1">
      <c r="B12" s="14" t="inlineStr">
        <is>
          <t>TOTAL</t>
        </is>
      </c>
      <c r="C12" s="44" t="inlineStr">
        <is>
          <t>100</t>
        </is>
      </c>
      <c r="D12" s="45" t="inlineStr"/>
    </row>
    <row r="14" ht="20" customHeight="1">
      <c r="B14" s="42" t="inlineStr">
        <is>
          <t>PART 1 — THE HCHB LADDER</t>
        </is>
      </c>
    </row>
    <row r="15" ht="26" customHeight="1">
      <c r="B15" s="10" t="inlineStr">
        <is>
          <t>Live, bi-directional, multi-customer</t>
        </is>
      </c>
      <c r="C15" s="44" t="inlineStr">
        <is>
          <t>25</t>
        </is>
      </c>
      <c r="D15" s="45" t="inlineStr">
        <is>
          <t>In production with more than one customer, reads and writes, published API / HL7 / FHIR, with a go-live date.</t>
        </is>
      </c>
    </row>
    <row r="16" ht="26" customHeight="1">
      <c r="B16" s="10" t="inlineStr">
        <is>
          <t>Live, single customer or one-way</t>
        </is>
      </c>
      <c r="C16" s="44" t="inlineStr">
        <is>
          <t>20</t>
        </is>
      </c>
      <c r="D16" s="45" t="inlineStr">
        <is>
          <t>In production, but one customer only, or it reads without writing back.</t>
        </is>
      </c>
    </row>
    <row r="17" ht="26" customHeight="1">
      <c r="B17" s="10" t="inlineStr">
        <is>
          <t>Live via a partner or a brittle method</t>
        </is>
      </c>
      <c r="C17" s="44" t="inlineStr">
        <is>
          <t>12</t>
        </is>
      </c>
      <c r="D17" s="45" t="inlineStr">
        <is>
          <t>Third party, flat file, direct database, or screen automation.</t>
        </is>
      </c>
    </row>
    <row r="18" ht="26" customHeight="1">
      <c r="B18" s="10" t="inlineStr">
        <is>
          <t>In development, dated</t>
        </is>
      </c>
      <c r="C18" s="44" t="inlineStr">
        <is>
          <t>6</t>
        </is>
      </c>
      <c r="D18" s="45" t="inlineStr">
        <is>
          <t>Building, with a committed date in the answer.</t>
        </is>
      </c>
    </row>
    <row r="19" ht="26" customHeight="1">
      <c r="B19" s="10" t="inlineStr">
        <is>
          <t>Roadmap, undated</t>
        </is>
      </c>
      <c r="C19" s="44" t="inlineStr">
        <is>
          <t>2</t>
        </is>
      </c>
      <c r="D19" s="45" t="inlineStr">
        <is>
          <t>Named as intent. No date, no commitment.</t>
        </is>
      </c>
    </row>
    <row r="20" ht="26" customHeight="1">
      <c r="B20" s="10" t="inlineStr">
        <is>
          <t>None, and no path</t>
        </is>
      </c>
      <c r="C20" s="44" t="inlineStr">
        <is>
          <t>0</t>
        </is>
      </c>
      <c r="D20" s="45" t="inlineStr">
        <is>
          <t>No integration and no credible route to one.</t>
        </is>
      </c>
    </row>
    <row r="22" ht="20" customHeight="1">
      <c r="B22" s="42" t="inlineStr">
        <is>
          <t>PART 2 — THE FOOTPRINT MARKS</t>
        </is>
      </c>
    </row>
    <row r="23" ht="26" customHeight="1">
      <c r="B23" s="10" t="inlineStr">
        <is>
          <t>Covered</t>
        </is>
      </c>
      <c r="C23" s="44" t="inlineStr">
        <is>
          <t>1.0</t>
        </is>
      </c>
      <c r="D23" s="45" t="inlineStr">
        <is>
          <t>The product does this today — stated plainly, or evidenced in a Section C walkthrough.</t>
        </is>
      </c>
    </row>
    <row r="24" ht="26" customHeight="1">
      <c r="B24" s="10" t="inlineStr">
        <is>
          <t>Partial</t>
        </is>
      </c>
      <c r="C24" s="44" t="inlineStr">
        <is>
          <t>0.5</t>
        </is>
      </c>
      <c r="D24" s="45" t="inlineStr">
        <is>
          <t>Adjacent, configurable-with-work, delivered by a partner, roadmapped with a date, or claimed without any supporting detail.</t>
        </is>
      </c>
    </row>
    <row r="25" ht="26" customHeight="1">
      <c r="B25" s="10" t="inlineStr">
        <is>
          <t>—</t>
        </is>
      </c>
      <c r="C25" s="44" t="inlineStr">
        <is>
          <t>0</t>
        </is>
      </c>
      <c r="D25" s="45" t="inlineStr">
        <is>
          <t>Absent, explicitly out of scope, or done by a person in their model.</t>
        </is>
      </c>
    </row>
    <row r="27" ht="20" customHeight="1">
      <c r="B27" s="42" t="inlineStr">
        <is>
          <t>PARTS 3–5 — THE EVIDENCE LADDER</t>
        </is>
      </c>
    </row>
    <row r="28" ht="26" customHeight="1">
      <c r="B28" s="10" t="inlineStr">
        <is>
          <t>0 — Not addressed</t>
        </is>
      </c>
      <c r="C28" s="44" t="inlineStr"/>
      <c r="D28" s="45" t="inlineStr">
        <is>
          <t>Skipped, or answered without answering.</t>
        </is>
      </c>
    </row>
    <row r="29" ht="26" customHeight="1">
      <c r="B29" s="10" t="inlineStr">
        <is>
          <t>1 — Asserted</t>
        </is>
      </c>
      <c r="C29" s="44" t="inlineStr"/>
      <c r="D29" s="45" t="inlineStr">
        <is>
          <t>They say they do it. Nothing behind it.</t>
        </is>
      </c>
    </row>
    <row r="30" ht="26" customHeight="1">
      <c r="B30" s="10" t="inlineStr">
        <is>
          <t>2 — Described</t>
        </is>
      </c>
      <c r="C30" s="44" t="inlineStr"/>
      <c r="D30" s="45" t="inlineStr">
        <is>
          <t>We can picture the feature.</t>
        </is>
      </c>
    </row>
    <row r="31" ht="26" customHeight="1">
      <c r="B31" s="10" t="inlineStr">
        <is>
          <t>3 — Mechanism</t>
        </is>
      </c>
      <c r="C31" s="44" t="inlineStr"/>
      <c r="D31" s="45" t="inlineStr">
        <is>
          <t>We can picture how it decides — the inputs, the logic, the configuration.</t>
        </is>
      </c>
    </row>
    <row r="32" ht="26" customHeight="1">
      <c r="B32" s="10" t="inlineStr">
        <is>
          <t>4 — Proven</t>
        </is>
      </c>
      <c r="C32" s="44" t="inlineStr"/>
      <c r="D32" s="45" t="inlineStr">
        <is>
          <t>Mechanism plus evidence: numbers, a named customer, a period, a baseline.</t>
        </is>
      </c>
    </row>
    <row r="34" ht="20" customHeight="1">
      <c r="B34" s="42" t="inlineStr">
        <is>
          <t>BANDS</t>
        </is>
      </c>
    </row>
    <row r="35" ht="26" customHeight="1">
      <c r="B35" s="10" t="inlineStr">
        <is>
          <t>Advance</t>
        </is>
      </c>
      <c r="C35" s="44" t="inlineStr">
        <is>
          <t>80–100</t>
        </is>
      </c>
      <c r="D35" s="45" t="inlineStr">
        <is>
          <t>Demo, references, deeper diligence.</t>
        </is>
      </c>
    </row>
    <row r="36" ht="26" customHeight="1">
      <c r="B36" s="10" t="inlineStr">
        <is>
          <t>Consider</t>
        </is>
      </c>
      <c r="C36" s="44" t="inlineStr">
        <is>
          <t>65–79</t>
        </is>
      </c>
      <c r="D36" s="45" t="inlineStr">
        <is>
          <t>Advance only if a differentiator or a low-cost gap-closer justifies it.</t>
        </is>
      </c>
    </row>
    <row r="37" ht="26" customHeight="1">
      <c r="B37" s="10" t="inlineStr">
        <is>
          <t>Hold</t>
        </is>
      </c>
      <c r="C37" s="44" t="inlineStr">
        <is>
          <t>50–64</t>
        </is>
      </c>
      <c r="D37" s="45" t="inlineStr">
        <is>
          <t>Park unless the field thins.</t>
        </is>
      </c>
    </row>
    <row r="38" ht="26" customHeight="1">
      <c r="B38" s="10" t="inlineStr">
        <is>
          <t>Decline</t>
        </is>
      </c>
      <c r="C38" s="44" t="inlineStr">
        <is>
          <t>&lt; 50</t>
        </is>
      </c>
      <c r="D38" s="45" t="inlineStr">
        <is>
          <t>Close out with thanks.</t>
        </is>
      </c>
    </row>
    <row r="39" ht="26" customHeight="1">
      <c r="B39" s="14" t="inlineStr">
        <is>
          <t>Conditional</t>
        </is>
      </c>
      <c r="C39" s="44" t="inlineStr">
        <is>
          <t>HCHB &lt; 12</t>
        </is>
      </c>
      <c r="D39" s="45" t="inlineStr">
        <is>
          <t>Any band, but advancing means explicitly accepting an integration to be built, on their timeline, at our risk. Ties break on HCHB, then Scheduling.</t>
        </is>
      </c>
    </row>
  </sheetData>
  <mergeCells count="5">
    <mergeCell ref="B5:D5"/>
    <mergeCell ref="B14:D14"/>
    <mergeCell ref="B22:D22"/>
    <mergeCell ref="B27:D27"/>
    <mergeCell ref="B34:D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7"/>
  <sheetViews>
    <sheetView showGridLines="0" workbookViewId="0">
      <selection activeCell="A1" sqref="A1"/>
    </sheetView>
  </sheetViews>
  <sheetFormatPr baseColWidth="8" defaultRowHeight="15"/>
  <cols>
    <col width="40" customWidth="1" min="2" max="2"/>
  </cols>
  <sheetData>
    <row r="1">
      <c r="B1" s="1" t="inlineStr">
        <is>
          <t>HCHB rung</t>
        </is>
      </c>
      <c r="C1" s="1" t="inlineStr">
        <is>
          <t>Points</t>
        </is>
      </c>
      <c r="E1" s="1" t="inlineStr">
        <is>
          <t>Ladder</t>
        </is>
      </c>
    </row>
    <row r="2">
      <c r="B2" t="inlineStr">
        <is>
          <t>Live, bi-directional, multi-customer</t>
        </is>
      </c>
      <c r="C2" t="n">
        <v>25</v>
      </c>
      <c r="E2" t="inlineStr">
        <is>
          <t>0 — Not addressed</t>
        </is>
      </c>
    </row>
    <row r="3">
      <c r="B3" t="inlineStr">
        <is>
          <t>Live, single customer or one-way</t>
        </is>
      </c>
      <c r="C3" t="n">
        <v>20</v>
      </c>
      <c r="E3" t="inlineStr">
        <is>
          <t>1 — Asserted</t>
        </is>
      </c>
    </row>
    <row r="4">
      <c r="B4" t="inlineStr">
        <is>
          <t>Live via a partner or a brittle method</t>
        </is>
      </c>
      <c r="C4" t="n">
        <v>12</v>
      </c>
      <c r="E4" t="inlineStr">
        <is>
          <t>2 — Described</t>
        </is>
      </c>
    </row>
    <row r="5">
      <c r="B5" t="inlineStr">
        <is>
          <t>In development, dated</t>
        </is>
      </c>
      <c r="C5" t="n">
        <v>6</v>
      </c>
      <c r="E5" t="inlineStr">
        <is>
          <t>3 — Mechanism</t>
        </is>
      </c>
    </row>
    <row r="6">
      <c r="B6" t="inlineStr">
        <is>
          <t>Roadmap, undated</t>
        </is>
      </c>
      <c r="C6" t="n">
        <v>2</v>
      </c>
      <c r="E6" t="inlineStr">
        <is>
          <t>4 — Proven</t>
        </is>
      </c>
    </row>
    <row r="7">
      <c r="B7" t="inlineStr">
        <is>
          <t>None, and no path</t>
        </is>
      </c>
      <c r="C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2026-09-02T14:35:02Z</dcterms:created>
  <dcterms:modified xsi:type="dcterms:W3CDTF">2026-09-02T14:35:02Z</dcterms:modified>
</cp:coreProperties>
</file>