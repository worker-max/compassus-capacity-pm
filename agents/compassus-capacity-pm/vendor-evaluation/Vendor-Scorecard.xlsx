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Example" sheetId="1" state="visible" r:id="rId1"/>
    <sheet name="Scorecard" sheetId="2" state="visible" r:id="rId2"/>
    <sheet name="Start Here" sheetId="3" state="visible" r:id="rId3"/>
    <sheet name="Questions" sheetId="4" state="visible" r:id="rId4"/>
    <sheet name="Lists" sheetId="5" state="hidden" r:id="rId5"/>
  </sheets>
  <definedNames>
    <definedName name="HCHB_List">Lists!$B$2:$B$7</definedName>
    <definedName name="Scope_List">Lists!$E$2:$E$6</definedName>
    <definedName name="Soph_List">Lists!$G$2:$G$6</definedName>
    <definedName name="Clin_List">Lists!$I$2:$I$6</definedName>
    <definedName name="Part_List">Lists!$K$2:$K$6</definedName>
    <definedName name="_xlnm.Print_Titles" localSheetId="0">'Example'!$5:$10,'Example'!$B:$E</definedName>
    <definedName name="_xlnm.Print_Titles" localSheetId="1">'Scorecard'!$5:$10,'Scorecard'!$B:$E</definedName>
  </definedNames>
  <calcPr calcId="124519" fullCalcOnLoad="1"/>
</workbook>
</file>

<file path=xl/styles.xml><?xml version="1.0" encoding="utf-8"?>
<styleSheet xmlns="http://schemas.openxmlformats.org/spreadsheetml/2006/main">
  <numFmts count="1">
    <numFmt numFmtId="164" formatCode="0.0"/>
  </numFmts>
  <fonts count="30">
    <font>
      <name val="Calibri"/>
      <family val="2"/>
      <color theme="1"/>
      <sz val="11"/>
      <scheme val="minor"/>
    </font>
    <font>
      <name val="Aptos Narrow"/>
      <b val="1"/>
      <color rgb="005A6560"/>
      <sz val="9"/>
    </font>
    <font>
      <name val="Aptos Narrow"/>
      <b val="1"/>
      <color rgb="001B211E"/>
      <sz val="20"/>
    </font>
    <font>
      <name val="Aptos Narrow"/>
      <i val="1"/>
      <color rgb="005A6560"/>
      <sz val="10"/>
    </font>
    <font>
      <name val="Aptos Narrow"/>
      <b val="1"/>
      <color rgb="00FFFFFF"/>
      <sz val="9"/>
    </font>
    <font>
      <name val="Aptos Narrow"/>
      <color rgb="001B211E"/>
      <sz val="10"/>
    </font>
    <font>
      <name val="Aptos Narrow"/>
      <b val="1"/>
      <color rgb="009A7B15"/>
      <sz val="12"/>
    </font>
    <font>
      <name val="Aptos Narrow"/>
      <color rgb="005A6560"/>
      <sz val="9"/>
    </font>
    <font>
      <name val="Aptos Narrow"/>
      <b val="1"/>
      <color rgb="001B211E"/>
      <sz val="11"/>
    </font>
    <font>
      <name val="Aptos Narrow"/>
      <b val="1"/>
      <color rgb="001B211E"/>
      <sz val="12"/>
    </font>
    <font>
      <name val="Aptos Narrow"/>
      <i val="1"/>
      <color rgb="005A6560"/>
      <sz val="9"/>
    </font>
    <font>
      <name val="Aptos Narrow"/>
      <b val="1"/>
      <color rgb="009A7B15"/>
      <sz val="11"/>
    </font>
    <font>
      <name val="Aptos Narrow"/>
      <b val="1"/>
      <color rgb="001B211E"/>
      <sz val="15"/>
    </font>
    <font>
      <name val="Aptos Narrow"/>
      <b val="1"/>
      <color rgb="001B211E"/>
      <sz val="10"/>
    </font>
    <font>
      <name val="Aptos Narrow"/>
      <b val="1"/>
      <color rgb="005A6560"/>
      <sz val="8"/>
    </font>
    <font>
      <name val="Aptos Narrow"/>
      <b val="1"/>
      <color rgb="00792E2E"/>
      <sz val="10"/>
    </font>
    <font>
      <name val="Aptos Narrow"/>
      <color rgb="009A7B15"/>
      <sz val="10"/>
    </font>
    <font>
      <name val="Aptos Narrow"/>
      <color rgb="001F6F78"/>
      <sz val="10"/>
    </font>
    <font>
      <name val="Aptos Narrow"/>
      <color rgb="002E599D"/>
      <sz val="10"/>
    </font>
    <font>
      <name val="Aptos Narrow"/>
      <color rgb="004E8A5B"/>
      <sz val="10"/>
    </font>
    <font>
      <name val="Aptos Narrow"/>
      <color rgb="006B4E96"/>
      <sz val="10"/>
    </font>
    <font>
      <name val="Aptos Narrow"/>
      <color rgb="001B211E"/>
      <sz val="9"/>
    </font>
    <font>
      <name val="Aptos Narrow"/>
      <b val="1"/>
      <color rgb="001F6F78"/>
      <sz val="11"/>
    </font>
    <font>
      <name val="Aptos Narrow"/>
      <b val="1"/>
      <color rgb="002E599D"/>
      <sz val="11"/>
    </font>
    <font>
      <name val="Aptos Narrow"/>
      <b val="1"/>
      <color rgb="004E8A5B"/>
      <sz val="11"/>
    </font>
    <font>
      <name val="Aptos Narrow"/>
      <b val="1"/>
      <color rgb="006B4E96"/>
      <sz val="11"/>
    </font>
    <font>
      <name val="Aptos Narrow"/>
      <color rgb="005A6560"/>
      <sz val="10"/>
    </font>
    <font>
      <name val="Aptos Narrow"/>
      <b val="1"/>
      <color rgb="001B211E"/>
      <sz val="14"/>
    </font>
    <font>
      <name val="Aptos Narrow"/>
      <b val="1"/>
      <color rgb="00792E2E"/>
      <sz val="9"/>
    </font>
    <font>
      <name val="Aptos Narrow"/>
      <b val="1"/>
      <color rgb="001B211E"/>
      <sz val="18"/>
    </font>
  </fonts>
  <fills count="13">
    <fill>
      <patternFill/>
    </fill>
    <fill>
      <patternFill patternType="gray125"/>
    </fill>
    <fill>
      <patternFill patternType="solid">
        <fgColor rgb="001B211E"/>
      </patternFill>
    </fill>
    <fill>
      <patternFill patternType="solid">
        <fgColor rgb="00E9E9E5"/>
      </patternFill>
    </fill>
    <fill>
      <patternFill patternType="solid">
        <fgColor rgb="00FFFDF4"/>
      </patternFill>
    </fill>
    <fill>
      <patternFill patternType="solid">
        <fgColor rgb="00FBFBF8"/>
      </patternFill>
    </fill>
    <fill>
      <patternFill patternType="solid">
        <fgColor rgb="0044566B"/>
      </patternFill>
    </fill>
    <fill>
      <patternFill patternType="solid">
        <fgColor rgb="00F1F2ED"/>
      </patternFill>
    </fill>
    <fill>
      <patternFill patternType="solid">
        <fgColor rgb="001F6F78"/>
      </patternFill>
    </fill>
    <fill>
      <patternFill patternType="solid">
        <fgColor rgb="002E599D"/>
      </patternFill>
    </fill>
    <fill>
      <patternFill patternType="solid">
        <fgColor rgb="004E8A5B"/>
      </patternFill>
    </fill>
    <fill>
      <patternFill patternType="solid">
        <fgColor rgb="00792E2E"/>
      </patternFill>
    </fill>
    <fill>
      <patternFill patternType="solid">
        <fgColor rgb="00FFFFFF"/>
      </patternFill>
    </fill>
  </fills>
  <borders count="7">
    <border>
      <left/>
      <right/>
      <top/>
      <bottom/>
      <diagonal/>
    </border>
    <border>
      <left style="thin">
        <color rgb="00C9CCC5"/>
      </left>
      <right style="thin">
        <color rgb="00C9CCC5"/>
      </right>
      <top style="thin">
        <color rgb="00C9CCC5"/>
      </top>
      <bottom style="thin">
        <color rgb="00C9CCC5"/>
      </bottom>
    </border>
    <border>
      <bottom style="medium">
        <color rgb="001B211E"/>
      </bottom>
    </border>
    <border>
      <left style="medium">
        <color rgb="008E9891"/>
      </left>
      <right style="thin">
        <color rgb="00C9CCC5"/>
      </right>
      <top style="thin">
        <color rgb="00C9CCC5"/>
      </top>
      <bottom style="thin">
        <color rgb="00C9CCC5"/>
      </bottom>
    </border>
    <border>
      <left style="thin">
        <color rgb="00C9CCC5"/>
      </left>
      <right style="thin">
        <color rgb="00C9CCC5"/>
      </right>
      <top style="medium">
        <color rgb="001B211E"/>
      </top>
      <bottom style="medium">
        <color rgb="001B211E"/>
      </bottom>
    </border>
    <border>
      <right/>
      <bottom style="medium">
        <color rgb="001B211E"/>
      </bottom>
    </border>
    <border>
      <left/>
      <right/>
      <top/>
      <bottom style="medium">
        <color rgb="001B211E"/>
      </bottom>
      <diagonal/>
    </border>
  </borders>
  <cellStyleXfs count="1">
    <xf numFmtId="0" fontId="0" fillId="0" borderId="0"/>
  </cellStyleXfs>
  <cellXfs count="69">
    <xf numFmtId="0" fontId="0" fillId="0" borderId="0" pivotButton="0" quotePrefix="0" xfId="0"/>
    <xf numFmtId="0" fontId="12" fillId="0" borderId="0" pivotButton="0" quotePrefix="0" xfId="0"/>
    <xf numFmtId="0" fontId="1" fillId="0" borderId="0" applyAlignment="1" pivotButton="0" quotePrefix="0" xfId="0">
      <alignment horizontal="left" vertical="center"/>
    </xf>
    <xf numFmtId="0" fontId="10" fillId="0" borderId="0" applyAlignment="1" pivotButton="0" quotePrefix="0" xfId="0">
      <alignment horizontal="left" vertical="center" wrapText="1"/>
    </xf>
    <xf numFmtId="0" fontId="1" fillId="0" borderId="0" applyAlignment="1" pivotButton="0" quotePrefix="0" xfId="0">
      <alignment horizontal="center" vertical="bottom"/>
    </xf>
    <xf numFmtId="0" fontId="1" fillId="0" borderId="0" applyAlignment="1" pivotButton="0" quotePrefix="0" xfId="0">
      <alignment horizontal="left" vertical="bottom"/>
    </xf>
    <xf numFmtId="0" fontId="13" fillId="5" borderId="2" applyAlignment="1" pivotButton="0" quotePrefix="0" xfId="0">
      <alignment horizontal="center" vertical="bottom" wrapText="1"/>
    </xf>
    <xf numFmtId="0" fontId="0" fillId="0" borderId="6" pivotButton="0" quotePrefix="0" xfId="0"/>
    <xf numFmtId="0" fontId="14" fillId="0" borderId="0" applyAlignment="1" pivotButton="0" quotePrefix="0" xfId="0">
      <alignment horizontal="center" vertical="center" wrapText="1"/>
    </xf>
    <xf numFmtId="0" fontId="14" fillId="0" borderId="0" applyAlignment="1" pivotButton="0" quotePrefix="0" xfId="0">
      <alignment horizontal="left" vertical="center" indent="1"/>
    </xf>
    <xf numFmtId="0" fontId="9" fillId="0" borderId="0" applyAlignment="1" pivotButton="0" quotePrefix="0" xfId="0">
      <alignment horizontal="left" vertical="center" wrapText="1"/>
    </xf>
    <xf numFmtId="0" fontId="7" fillId="0" borderId="0" applyAlignment="1" pivotButton="0" quotePrefix="0" xfId="0">
      <alignment horizontal="left" vertical="center" wrapText="1"/>
    </xf>
    <xf numFmtId="164" fontId="27" fillId="12" borderId="4" applyAlignment="1" pivotButton="0" quotePrefix="0" xfId="0">
      <alignment horizontal="center" vertical="center" wrapText="1"/>
    </xf>
    <xf numFmtId="0" fontId="21" fillId="3" borderId="1" applyAlignment="1" pivotButton="0" quotePrefix="0" xfId="0">
      <alignment horizontal="left" vertical="top" wrapText="1"/>
    </xf>
    <xf numFmtId="0" fontId="13" fillId="0" borderId="0" applyAlignment="1" pivotButton="0" quotePrefix="0" xfId="0">
      <alignment horizontal="left" vertical="center" wrapText="1"/>
    </xf>
    <xf numFmtId="0" fontId="28" fillId="3" borderId="1" applyAlignment="1" pivotButton="0" quotePrefix="0" xfId="0">
      <alignment horizontal="center" vertical="center" wrapText="1"/>
    </xf>
    <xf numFmtId="0" fontId="15" fillId="0" borderId="0" applyAlignment="1" pivotButton="0" quotePrefix="0" xfId="0">
      <alignment horizontal="left" vertical="center" wrapText="1"/>
    </xf>
    <xf numFmtId="1" fontId="15" fillId="3" borderId="1" applyAlignment="1" pivotButton="0" quotePrefix="0" xfId="0">
      <alignment horizontal="center" vertical="center" wrapText="1"/>
    </xf>
    <xf numFmtId="0" fontId="4" fillId="6" borderId="0" applyAlignment="1" pivotButton="0" quotePrefix="0" xfId="0">
      <alignment horizontal="left" vertical="center" indent="1"/>
    </xf>
    <xf numFmtId="0" fontId="16" fillId="0" borderId="0" applyAlignment="1" pivotButton="0" quotePrefix="0" xfId="0">
      <alignment horizontal="left" vertical="center" wrapText="1"/>
    </xf>
    <xf numFmtId="9" fontId="13" fillId="3" borderId="1" applyAlignment="1" pivotButton="0" quotePrefix="0" xfId="0">
      <alignment horizontal="center" vertical="center" wrapText="1"/>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0" borderId="0" applyAlignment="1" pivotButton="0" quotePrefix="0" xfId="0">
      <alignment horizontal="left" vertical="center" wrapText="1"/>
    </xf>
    <xf numFmtId="9" fontId="5" fillId="3" borderId="1" applyAlignment="1" pivotButton="0" quotePrefix="0" xfId="0">
      <alignment horizontal="center" vertical="center" wrapText="1"/>
    </xf>
    <xf numFmtId="0" fontId="5" fillId="0" borderId="0" applyAlignment="1" pivotButton="0" quotePrefix="0" xfId="0">
      <alignment horizontal="left" vertical="center" wrapText="1"/>
    </xf>
    <xf numFmtId="0" fontId="4" fillId="2" borderId="0" applyAlignment="1" pivotButton="0" quotePrefix="0" xfId="0">
      <alignment horizontal="left" vertical="center" indent="1"/>
    </xf>
    <xf numFmtId="0" fontId="7" fillId="7" borderId="0" applyAlignment="1" pivotButton="0" quotePrefix="0" xfId="0">
      <alignment horizontal="center" vertical="center" wrapText="1"/>
    </xf>
    <xf numFmtId="0" fontId="8" fillId="7" borderId="0" applyAlignment="1" pivotButton="0" quotePrefix="0" xfId="0">
      <alignment horizontal="left" vertical="center" wrapText="1"/>
    </xf>
    <xf numFmtId="0" fontId="7" fillId="7" borderId="0" applyAlignment="1" pivotButton="0" quotePrefix="0" xfId="0">
      <alignment horizontal="left" vertical="center" wrapText="1"/>
    </xf>
    <xf numFmtId="1" fontId="11" fillId="7" borderId="0" applyAlignment="1" pivotButton="0" quotePrefix="0" xfId="0">
      <alignment horizontal="center" vertical="center" wrapText="1"/>
    </xf>
    <xf numFmtId="0" fontId="5" fillId="7" borderId="3" applyAlignment="1" pivotButton="0" quotePrefix="0" xfId="0">
      <alignment horizontal="center" vertical="center" wrapText="1"/>
    </xf>
    <xf numFmtId="0" fontId="21" fillId="7" borderId="1" applyAlignment="1" pivotButton="0" quotePrefix="0" xfId="0">
      <alignment horizontal="left" vertical="top" wrapText="1"/>
    </xf>
    <xf numFmtId="0" fontId="7" fillId="5" borderId="0" applyAlignment="1" pivotButton="0" quotePrefix="0" xfId="0">
      <alignment horizontal="center" vertical="center" wrapText="1"/>
    </xf>
    <xf numFmtId="0" fontId="8" fillId="5" borderId="0" applyAlignment="1" pivotButton="0" quotePrefix="0" xfId="0">
      <alignment horizontal="left" vertical="center" wrapText="1"/>
    </xf>
    <xf numFmtId="0" fontId="7" fillId="5" borderId="0" applyAlignment="1" pivotButton="0" quotePrefix="0" xfId="0">
      <alignment horizontal="left" vertical="center" wrapText="1"/>
    </xf>
    <xf numFmtId="0" fontId="5" fillId="5" borderId="0" applyAlignment="1" pivotButton="0" quotePrefix="0" xfId="0">
      <alignment horizontal="center" vertical="center" wrapText="1"/>
    </xf>
    <xf numFmtId="0" fontId="5" fillId="5" borderId="3" applyAlignment="1" pivotButton="0" quotePrefix="0" xfId="0">
      <alignment horizontal="center" vertical="center" wrapText="1"/>
    </xf>
    <xf numFmtId="0" fontId="21" fillId="5" borderId="1" applyAlignment="1" pivotButton="0" quotePrefix="0" xfId="0">
      <alignment horizontal="left" vertical="top" wrapText="1"/>
    </xf>
    <xf numFmtId="0" fontId="4" fillId="8" borderId="0" applyAlignment="1" pivotButton="0" quotePrefix="0" xfId="0">
      <alignment horizontal="left" vertical="center" indent="1"/>
    </xf>
    <xf numFmtId="1" fontId="22" fillId="5" borderId="0" applyAlignment="1" pivotButton="0" quotePrefix="0" xfId="0">
      <alignment horizontal="center" vertical="center"/>
    </xf>
    <xf numFmtId="0" fontId="4" fillId="9" borderId="0" applyAlignment="1" pivotButton="0" quotePrefix="0" xfId="0">
      <alignment horizontal="left" vertical="center" indent="1"/>
    </xf>
    <xf numFmtId="1" fontId="23" fillId="7" borderId="0" applyAlignment="1" pivotButton="0" quotePrefix="0" xfId="0">
      <alignment horizontal="center" vertical="center"/>
    </xf>
    <xf numFmtId="0" fontId="4" fillId="10" borderId="0" applyAlignment="1" pivotButton="0" quotePrefix="0" xfId="0">
      <alignment horizontal="left" vertical="center" indent="1"/>
    </xf>
    <xf numFmtId="1" fontId="24" fillId="5" borderId="0" applyAlignment="1" pivotButton="0" quotePrefix="0" xfId="0">
      <alignment horizontal="center" vertical="center"/>
    </xf>
    <xf numFmtId="1" fontId="25" fillId="7" borderId="0" applyAlignment="1" pivotButton="0" quotePrefix="0" xfId="0">
      <alignment horizontal="center" vertical="center" wrapText="1"/>
    </xf>
    <xf numFmtId="1" fontId="8" fillId="7" borderId="0" applyAlignment="1" pivotButton="0" quotePrefix="0" xfId="0">
      <alignment horizontal="center" vertical="center" wrapText="1"/>
    </xf>
    <xf numFmtId="0" fontId="4" fillId="11" borderId="0" applyAlignment="1" pivotButton="0" quotePrefix="0" xfId="0">
      <alignment horizontal="left" vertical="center" indent="1"/>
    </xf>
    <xf numFmtId="0" fontId="15" fillId="0" borderId="0" applyAlignment="1" pivotButton="0" quotePrefix="0" xfId="0">
      <alignment horizontal="left" vertical="top" wrapText="1"/>
    </xf>
    <xf numFmtId="0" fontId="10" fillId="0" borderId="0" applyAlignment="1" pivotButton="0" quotePrefix="0" xfId="0">
      <alignment horizontal="left" vertical="top" wrapText="1"/>
    </xf>
    <xf numFmtId="0" fontId="26"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3" fillId="0" borderId="0" applyAlignment="1" pivotButton="0" quotePrefix="0" xfId="0">
      <alignment horizontal="left" vertical="center" wrapText="1"/>
    </xf>
    <xf numFmtId="0" fontId="5" fillId="0" borderId="0" applyAlignment="1" pivotButton="0" quotePrefix="0" xfId="0">
      <alignment horizontal="left" vertical="top" wrapText="1"/>
    </xf>
    <xf numFmtId="0" fontId="1" fillId="3" borderId="0" applyAlignment="1" pivotButton="0" quotePrefix="0" xfId="0">
      <alignment horizontal="left" vertical="center" wrapText="1"/>
    </xf>
    <xf numFmtId="0" fontId="1" fillId="3" borderId="0" applyAlignment="1" pivotButton="0" quotePrefix="0" xfId="0">
      <alignment horizontal="center" vertical="center" wrapText="1"/>
    </xf>
    <xf numFmtId="1" fontId="6" fillId="4" borderId="1" applyAlignment="1" pivotButton="0" quotePrefix="0" xfId="0">
      <alignment horizontal="center" vertical="center" wrapText="1"/>
    </xf>
    <xf numFmtId="0" fontId="8" fillId="0" borderId="0" applyAlignment="1" pivotButton="0" quotePrefix="0" xfId="0">
      <alignment horizontal="left" vertical="center" wrapText="1"/>
    </xf>
    <xf numFmtId="1" fontId="9" fillId="3" borderId="1" applyAlignment="1" pivotButton="0" quotePrefix="0" xfId="0">
      <alignment horizontal="center" vertical="center" wrapText="1"/>
    </xf>
    <xf numFmtId="0" fontId="11" fillId="0" borderId="0" applyAlignment="1" pivotButton="0" quotePrefix="0" xfId="0">
      <alignment horizontal="center" vertical="center" wrapText="1"/>
    </xf>
    <xf numFmtId="0" fontId="10" fillId="0" borderId="0" pivotButton="0" quotePrefix="0" xfId="0"/>
    <xf numFmtId="0" fontId="29" fillId="0" borderId="0" pivotButton="0" quotePrefix="0" xfId="0"/>
    <xf numFmtId="0" fontId="1" fillId="0" borderId="0" applyAlignment="1" pivotButton="0" quotePrefix="0" xfId="0">
      <alignment horizontal="left" vertical="center" wrapText="1"/>
    </xf>
    <xf numFmtId="0" fontId="7" fillId="5" borderId="1" applyAlignment="1" pivotButton="0" quotePrefix="0" xfId="0">
      <alignment horizontal="center" vertical="center" wrapText="1"/>
    </xf>
    <xf numFmtId="0" fontId="5" fillId="5" borderId="1" applyAlignment="1" pivotButton="0" quotePrefix="0" xfId="0">
      <alignment horizontal="left" vertical="top" wrapText="1"/>
    </xf>
    <xf numFmtId="0" fontId="7" fillId="5" borderId="1" applyAlignment="1" pivotButton="0" quotePrefix="0" xfId="0">
      <alignment horizontal="left" vertical="top" wrapText="1"/>
    </xf>
    <xf numFmtId="0" fontId="21" fillId="5" borderId="1" applyAlignment="1" pivotButton="0" quotePrefix="0" xfId="0">
      <alignment horizontal="center" vertical="center" wrapText="1"/>
    </xf>
  </cellXfs>
  <cellStyles count="1">
    <cellStyle name="Normal" xfId="0" builtinId="0" hidden="0"/>
  </cellStyles>
  <dxfs count="3">
    <dxf>
      <font>
        <b val="1"/>
        <color rgb="006E1F1F"/>
      </font>
      <fill>
        <patternFill patternType="solid">
          <fgColor rgb="00E8B4B4"/>
        </patternFill>
      </fill>
    </dxf>
    <dxf>
      <font>
        <b val="1"/>
        <color rgb="006B5410"/>
      </font>
      <fill>
        <patternFill patternType="solid">
          <fgColor rgb="00F0DCA8"/>
        </patternFill>
      </fill>
    </dxf>
    <dxf>
      <font>
        <b val="1"/>
        <color rgb="0024512F"/>
      </font>
      <fill>
        <patternFill patternType="solid">
          <fgColor rgb="00BFDCC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92E2E"/>
    <outlinePr summaryBelow="1" summaryRight="1"/>
    <pageSetUpPr fitToPage="1"/>
  </sheetPr>
  <dimension ref="B2:AK61"/>
  <sheetViews>
    <sheetView showGridLines="0" tabSelected="0" zoomScale="100" workbookViewId="0">
      <pane xSplit="5" ySplit="10" topLeftCell="F11"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8" customWidth="1" min="3" max="3"/>
    <col width="36" customWidth="1" min="4" max="4"/>
    <col width="6" customWidth="1" min="5" max="5"/>
    <col width="17" customWidth="1" min="6" max="6"/>
    <col hidden="1" outlineLevel="1" width="46" customWidth="1" min="7" max="7"/>
    <col width="17" customWidth="1" min="8" max="8"/>
    <col hidden="1" outlineLevel="1" width="46" customWidth="1" min="9" max="9"/>
    <col width="17" customWidth="1" min="10" max="10"/>
    <col hidden="1" outlineLevel="1" width="46" customWidth="1" min="11" max="11"/>
    <col width="17" customWidth="1" min="12" max="12"/>
    <col hidden="1" outlineLevel="1" width="46" customWidth="1" min="13" max="13"/>
    <col width="17" customWidth="1" min="14" max="14"/>
    <col hidden="1" outlineLevel="1" width="46" customWidth="1" min="15" max="15"/>
    <col width="17" customWidth="1" min="16" max="16"/>
    <col hidden="1" outlineLevel="1" width="46" customWidth="1" min="17" max="17"/>
    <col width="17" customWidth="1" min="18" max="18"/>
    <col hidden="1" outlineLevel="1" width="46" customWidth="1" min="19" max="19"/>
    <col width="17" customWidth="1" min="20" max="20"/>
    <col hidden="1" outlineLevel="1" width="46" customWidth="1" min="21" max="21"/>
    <col width="17" customWidth="1" min="22" max="22"/>
    <col hidden="1" outlineLevel="1" width="46" customWidth="1" min="23" max="23"/>
    <col width="17" customWidth="1" min="24" max="24"/>
    <col hidden="1" outlineLevel="1" width="46" customWidth="1" min="25" max="25"/>
    <col width="17" customWidth="1" min="26" max="26"/>
    <col hidden="1" outlineLevel="1" width="46" customWidth="1" min="27" max="27"/>
    <col width="17" customWidth="1" min="28" max="28"/>
    <col hidden="1" outlineLevel="1" width="46" customWidth="1" min="29" max="29"/>
    <col width="17" customWidth="1" min="30" max="30"/>
    <col hidden="1" outlineLevel="1" width="46" customWidth="1" min="31" max="31"/>
    <col width="17" customWidth="1" min="32" max="32"/>
    <col hidden="1" outlineLevel="1" width="46" customWidth="1" min="33" max="33"/>
    <col width="17" customWidth="1" min="34" max="34"/>
    <col hidden="1" outlineLevel="1" width="46" customWidth="1" min="35" max="35"/>
    <col width="17" customWidth="1" min="36" max="36"/>
    <col hidden="1" outlineLevel="1" width="46" customWidth="1" min="37" max="37"/>
  </cols>
  <sheetData>
    <row r="2" ht="22" customHeight="1">
      <c r="B2" s="1" t="inlineStr">
        <is>
          <t>Vendor Scorecard</t>
        </is>
      </c>
      <c r="C2" s="2" t="inlineStr">
        <is>
          <t>COMPASSUS  ·  CAPACITY &amp; SCHEDULING</t>
        </is>
      </c>
    </row>
    <row r="3">
      <c r="B3" s="3" t="inlineStr">
        <is>
          <t>A worked example. These three vendors are invented — every score beside them is this sheet's own formulas. Score on the Scorecard tab, not this one.</t>
        </is>
      </c>
    </row>
    <row r="5" ht="34" customHeight="1">
      <c r="B5" s="4" t="inlineStr">
        <is>
          <t>Q</t>
        </is>
      </c>
      <c r="C5" s="5" t="inlineStr">
        <is>
          <t>CRITERION</t>
        </is>
      </c>
      <c r="D5" s="5" t="inlineStr">
        <is>
          <t>WHAT IT COVERS</t>
        </is>
      </c>
      <c r="E5" s="4" t="inlineStr">
        <is>
          <t>WT</t>
        </is>
      </c>
      <c r="F5" s="6" t="inlineStr">
        <is>
          <t>Arbor Health Logistics</t>
        </is>
      </c>
      <c r="G5" s="7" t="n"/>
      <c r="H5" s="6" t="inlineStr">
        <is>
          <t>Wayfinder Scheduling</t>
        </is>
      </c>
      <c r="I5" s="7" t="n"/>
      <c r="J5" s="6" t="inlineStr">
        <is>
          <t>Northlight Health</t>
        </is>
      </c>
      <c r="K5" s="7" t="n"/>
      <c r="L5" s="6" t="inlineStr">
        <is>
          <t>Vendor 04</t>
        </is>
      </c>
      <c r="N5" s="6" t="inlineStr">
        <is>
          <t>Vendor 05</t>
        </is>
      </c>
      <c r="P5" s="6" t="inlineStr">
        <is>
          <t>Vendor 06</t>
        </is>
      </c>
      <c r="R5" s="6" t="inlineStr">
        <is>
          <t>Vendor 07</t>
        </is>
      </c>
      <c r="T5" s="6" t="inlineStr">
        <is>
          <t>Vendor 08</t>
        </is>
      </c>
      <c r="V5" s="6" t="inlineStr">
        <is>
          <t>Vendor 09</t>
        </is>
      </c>
      <c r="X5" s="6" t="inlineStr">
        <is>
          <t>Vendor 10</t>
        </is>
      </c>
      <c r="Z5" s="6" t="inlineStr">
        <is>
          <t>Vendor 11</t>
        </is>
      </c>
      <c r="AB5" s="6" t="inlineStr">
        <is>
          <t>Vendor 12</t>
        </is>
      </c>
      <c r="AD5" s="6" t="inlineStr">
        <is>
          <t>Vendor 13</t>
        </is>
      </c>
      <c r="AF5" s="6" t="inlineStr">
        <is>
          <t>Vendor 14</t>
        </is>
      </c>
      <c r="AH5" s="6" t="inlineStr">
        <is>
          <t>Vendor 15</t>
        </is>
      </c>
      <c r="AJ5" s="6" t="inlineStr">
        <is>
          <t>Vendor 16</t>
        </is>
      </c>
    </row>
    <row r="6" ht="15" customHeight="1">
      <c r="F6" s="8" t="inlineStr">
        <is>
          <t>MARK</t>
        </is>
      </c>
      <c r="G6" s="9" t="inlineStr">
        <is>
          <t>NOTES  ·  JUSTIFICATION  ·  CLAIM vs EVIDENCE</t>
        </is>
      </c>
      <c r="H6" s="8" t="inlineStr">
        <is>
          <t>MARK</t>
        </is>
      </c>
      <c r="I6" s="9" t="inlineStr">
        <is>
          <t>NOTES  ·  JUSTIFICATION  ·  CLAIM vs EVIDENCE</t>
        </is>
      </c>
      <c r="J6" s="8" t="inlineStr">
        <is>
          <t>MARK</t>
        </is>
      </c>
      <c r="K6" s="9" t="inlineStr">
        <is>
          <t>NOTES  ·  JUSTIFICATION  ·  CLAIM vs EVIDENCE</t>
        </is>
      </c>
      <c r="L6" s="8" t="inlineStr">
        <is>
          <t>MARK</t>
        </is>
      </c>
      <c r="M6" s="9" t="inlineStr">
        <is>
          <t>NOTES  ·  JUSTIFICATION  ·  CLAIM vs EVIDENCE</t>
        </is>
      </c>
      <c r="N6" s="8" t="inlineStr">
        <is>
          <t>MARK</t>
        </is>
      </c>
      <c r="O6" s="9" t="inlineStr">
        <is>
          <t>NOTES  ·  JUSTIFICATION  ·  CLAIM vs EVIDENCE</t>
        </is>
      </c>
      <c r="P6" s="8" t="inlineStr">
        <is>
          <t>MARK</t>
        </is>
      </c>
      <c r="Q6" s="9" t="inlineStr">
        <is>
          <t>NOTES  ·  JUSTIFICATION  ·  CLAIM vs EVIDENCE</t>
        </is>
      </c>
      <c r="R6" s="8" t="inlineStr">
        <is>
          <t>MARK</t>
        </is>
      </c>
      <c r="S6" s="9" t="inlineStr">
        <is>
          <t>NOTES  ·  JUSTIFICATION  ·  CLAIM vs EVIDENCE</t>
        </is>
      </c>
      <c r="T6" s="8" t="inlineStr">
        <is>
          <t>MARK</t>
        </is>
      </c>
      <c r="U6" s="9" t="inlineStr">
        <is>
          <t>NOTES  ·  JUSTIFICATION  ·  CLAIM vs EVIDENCE</t>
        </is>
      </c>
      <c r="V6" s="8" t="inlineStr">
        <is>
          <t>MARK</t>
        </is>
      </c>
      <c r="W6" s="9" t="inlineStr">
        <is>
          <t>NOTES  ·  JUSTIFICATION  ·  CLAIM vs EVIDENCE</t>
        </is>
      </c>
      <c r="X6" s="8" t="inlineStr">
        <is>
          <t>MARK</t>
        </is>
      </c>
      <c r="Y6" s="9" t="inlineStr">
        <is>
          <t>NOTES  ·  JUSTIFICATION  ·  CLAIM vs EVIDENCE</t>
        </is>
      </c>
      <c r="Z6" s="8" t="inlineStr">
        <is>
          <t>MARK</t>
        </is>
      </c>
      <c r="AA6" s="9" t="inlineStr">
        <is>
          <t>NOTES  ·  JUSTIFICATION  ·  CLAIM vs EVIDENCE</t>
        </is>
      </c>
      <c r="AB6" s="8" t="inlineStr">
        <is>
          <t>MARK</t>
        </is>
      </c>
      <c r="AC6" s="9" t="inlineStr">
        <is>
          <t>NOTES  ·  JUSTIFICATION  ·  CLAIM vs EVIDENCE</t>
        </is>
      </c>
      <c r="AD6" s="8" t="inlineStr">
        <is>
          <t>MARK</t>
        </is>
      </c>
      <c r="AE6" s="9" t="inlineStr">
        <is>
          <t>NOTES  ·  JUSTIFICATION  ·  CLAIM vs EVIDENCE</t>
        </is>
      </c>
      <c r="AF6" s="8" t="inlineStr">
        <is>
          <t>MARK</t>
        </is>
      </c>
      <c r="AG6" s="9" t="inlineStr">
        <is>
          <t>NOTES  ·  JUSTIFICATION  ·  CLAIM vs EVIDENCE</t>
        </is>
      </c>
      <c r="AH6" s="8" t="inlineStr">
        <is>
          <t>MARK</t>
        </is>
      </c>
      <c r="AI6" s="9" t="inlineStr">
        <is>
          <t>NOTES  ·  JUSTIFICATION  ·  CLAIM vs EVIDENCE</t>
        </is>
      </c>
      <c r="AJ6" s="8" t="inlineStr">
        <is>
          <t>MARK</t>
        </is>
      </c>
      <c r="AK6" s="9" t="inlineStr">
        <is>
          <t>NOTES  ·  JUSTIFICATION  ·  CLAIM vs EVIDENCE</t>
        </is>
      </c>
    </row>
    <row r="8" ht="24" customHeight="1">
      <c r="B8" s="10" t="inlineStr">
        <is>
          <t>TOTAL</t>
        </is>
      </c>
      <c r="C8" s="11" t="inlineStr">
        <is>
          <t>weighted, of 100</t>
        </is>
      </c>
      <c r="F8" s="12">
        <f>IF(F22="","",F13*'Start Here'!$C$10+F14*'Start Here'!$C$11+F15*'Start Here'!$C$12+F16*'Start Here'!$C$13+F17*'Start Here'!$C$14+F18*'Start Here'!$C$15+F19*'Start Here'!$C$16)</f>
        <v/>
      </c>
      <c r="G8" s="13" t="n"/>
      <c r="H8" s="12">
        <f>IF(H22="","",H13*'Start Here'!$C$10+H14*'Start Here'!$C$11+H15*'Start Here'!$C$12+H16*'Start Here'!$C$13+H17*'Start Here'!$C$14+H18*'Start Here'!$C$15+H19*'Start Here'!$C$16)</f>
        <v/>
      </c>
      <c r="I8" s="13" t="n"/>
      <c r="J8" s="12">
        <f>IF(J22="","",J13*'Start Here'!$C$10+J14*'Start Here'!$C$11+J15*'Start Here'!$C$12+J16*'Start Here'!$C$13+J17*'Start Here'!$C$14+J18*'Start Here'!$C$15+J19*'Start Here'!$C$16)</f>
        <v/>
      </c>
      <c r="K8" s="13" t="n"/>
      <c r="L8" s="12">
        <f>IF(L22="","",L13*'Start Here'!$C$10+L14*'Start Here'!$C$11+L15*'Start Here'!$C$12+L16*'Start Here'!$C$13+L17*'Start Here'!$C$14+L18*'Start Here'!$C$15+L19*'Start Here'!$C$16)</f>
        <v/>
      </c>
      <c r="M8" s="13" t="n"/>
      <c r="N8" s="12">
        <f>IF(N22="","",N13*'Start Here'!$C$10+N14*'Start Here'!$C$11+N15*'Start Here'!$C$12+N16*'Start Here'!$C$13+N17*'Start Here'!$C$14+N18*'Start Here'!$C$15+N19*'Start Here'!$C$16)</f>
        <v/>
      </c>
      <c r="O8" s="13" t="n"/>
      <c r="P8" s="12">
        <f>IF(P22="","",P13*'Start Here'!$C$10+P14*'Start Here'!$C$11+P15*'Start Here'!$C$12+P16*'Start Here'!$C$13+P17*'Start Here'!$C$14+P18*'Start Here'!$C$15+P19*'Start Here'!$C$16)</f>
        <v/>
      </c>
      <c r="Q8" s="13" t="n"/>
      <c r="R8" s="12">
        <f>IF(R22="","",R13*'Start Here'!$C$10+R14*'Start Here'!$C$11+R15*'Start Here'!$C$12+R16*'Start Here'!$C$13+R17*'Start Here'!$C$14+R18*'Start Here'!$C$15+R19*'Start Here'!$C$16)</f>
        <v/>
      </c>
      <c r="S8" s="13" t="n"/>
      <c r="T8" s="12">
        <f>IF(T22="","",T13*'Start Here'!$C$10+T14*'Start Here'!$C$11+T15*'Start Here'!$C$12+T16*'Start Here'!$C$13+T17*'Start Here'!$C$14+T18*'Start Here'!$C$15+T19*'Start Here'!$C$16)</f>
        <v/>
      </c>
      <c r="U8" s="13" t="n"/>
      <c r="V8" s="12">
        <f>IF(V22="","",V13*'Start Here'!$C$10+V14*'Start Here'!$C$11+V15*'Start Here'!$C$12+V16*'Start Here'!$C$13+V17*'Start Here'!$C$14+V18*'Start Here'!$C$15+V19*'Start Here'!$C$16)</f>
        <v/>
      </c>
      <c r="W8" s="13" t="n"/>
      <c r="X8" s="12">
        <f>IF(X22="","",X13*'Start Here'!$C$10+X14*'Start Here'!$C$11+X15*'Start Here'!$C$12+X16*'Start Here'!$C$13+X17*'Start Here'!$C$14+X18*'Start Here'!$C$15+X19*'Start Here'!$C$16)</f>
        <v/>
      </c>
      <c r="Y8" s="13" t="n"/>
      <c r="Z8" s="12">
        <f>IF(Z22="","",Z13*'Start Here'!$C$10+Z14*'Start Here'!$C$11+Z15*'Start Here'!$C$12+Z16*'Start Here'!$C$13+Z17*'Start Here'!$C$14+Z18*'Start Here'!$C$15+Z19*'Start Here'!$C$16)</f>
        <v/>
      </c>
      <c r="AA8" s="13" t="n"/>
      <c r="AB8" s="12">
        <f>IF(AB22="","",AB13*'Start Here'!$C$10+AB14*'Start Here'!$C$11+AB15*'Start Here'!$C$12+AB16*'Start Here'!$C$13+AB17*'Start Here'!$C$14+AB18*'Start Here'!$C$15+AB19*'Start Here'!$C$16)</f>
        <v/>
      </c>
      <c r="AC8" s="13" t="n"/>
      <c r="AD8" s="12">
        <f>IF(AD22="","",AD13*'Start Here'!$C$10+AD14*'Start Here'!$C$11+AD15*'Start Here'!$C$12+AD16*'Start Here'!$C$13+AD17*'Start Here'!$C$14+AD18*'Start Here'!$C$15+AD19*'Start Here'!$C$16)</f>
        <v/>
      </c>
      <c r="AE8" s="13" t="n"/>
      <c r="AF8" s="12">
        <f>IF(AF22="","",AF13*'Start Here'!$C$10+AF14*'Start Here'!$C$11+AF15*'Start Here'!$C$12+AF16*'Start Here'!$C$13+AF17*'Start Here'!$C$14+AF18*'Start Here'!$C$15+AF19*'Start Here'!$C$16)</f>
        <v/>
      </c>
      <c r="AG8" s="13" t="n"/>
      <c r="AH8" s="12">
        <f>IF(AH22="","",AH13*'Start Here'!$C$10+AH14*'Start Here'!$C$11+AH15*'Start Here'!$C$12+AH16*'Start Here'!$C$13+AH17*'Start Here'!$C$14+AH18*'Start Here'!$C$15+AH19*'Start Here'!$C$16)</f>
        <v/>
      </c>
      <c r="AI8" s="13" t="n"/>
      <c r="AJ8" s="12">
        <f>IF(AJ22="","",AJ13*'Start Here'!$C$10+AJ14*'Start Here'!$C$11+AJ15*'Start Here'!$C$12+AJ16*'Start Here'!$C$13+AJ17*'Start Here'!$C$14+AJ18*'Start Here'!$C$15+AJ19*'Start Here'!$C$16)</f>
        <v/>
      </c>
      <c r="AK8" s="13" t="n"/>
    </row>
    <row r="9" ht="18" customHeight="1">
      <c r="B9" s="14" t="inlineStr">
        <is>
          <t>Band</t>
        </is>
      </c>
      <c r="C9" s="11" t="inlineStr">
        <is>
          <t>80 Advance · 65 Consider · 50 Hold</t>
        </is>
      </c>
      <c r="F9" s="15">
        <f>IF(F22="","",IF(NOT(F13&gt;=0.6),"Conditional — ","")&amp;IF(F8&gt;=80,"Advance",IF(F8&gt;=65,"Consider",IF(F8&gt;=50,"Hold","Decline"))))</f>
        <v/>
      </c>
      <c r="G9" s="13" t="n"/>
      <c r="H9" s="15">
        <f>IF(H22="","",IF(NOT(H13&gt;=0.6),"Conditional — ","")&amp;IF(H8&gt;=80,"Advance",IF(H8&gt;=65,"Consider",IF(H8&gt;=50,"Hold","Decline"))))</f>
        <v/>
      </c>
      <c r="I9" s="13" t="n"/>
      <c r="J9" s="15">
        <f>IF(J22="","",IF(NOT(J13&gt;=0.6),"Conditional — ","")&amp;IF(J8&gt;=80,"Advance",IF(J8&gt;=65,"Consider",IF(J8&gt;=50,"Hold","Decline"))))</f>
        <v/>
      </c>
      <c r="K9" s="13" t="n"/>
      <c r="L9" s="15">
        <f>IF(L22="","",IF(NOT(L13&gt;=0.6),"Conditional — ","")&amp;IF(L8&gt;=80,"Advance",IF(L8&gt;=65,"Consider",IF(L8&gt;=50,"Hold","Decline"))))</f>
        <v/>
      </c>
      <c r="M9" s="13" t="n"/>
      <c r="N9" s="15">
        <f>IF(N22="","",IF(NOT(N13&gt;=0.6),"Conditional — ","")&amp;IF(N8&gt;=80,"Advance",IF(N8&gt;=65,"Consider",IF(N8&gt;=50,"Hold","Decline"))))</f>
        <v/>
      </c>
      <c r="O9" s="13" t="n"/>
      <c r="P9" s="15">
        <f>IF(P22="","",IF(NOT(P13&gt;=0.6),"Conditional — ","")&amp;IF(P8&gt;=80,"Advance",IF(P8&gt;=65,"Consider",IF(P8&gt;=50,"Hold","Decline"))))</f>
        <v/>
      </c>
      <c r="Q9" s="13" t="n"/>
      <c r="R9" s="15">
        <f>IF(R22="","",IF(NOT(R13&gt;=0.6),"Conditional — ","")&amp;IF(R8&gt;=80,"Advance",IF(R8&gt;=65,"Consider",IF(R8&gt;=50,"Hold","Decline"))))</f>
        <v/>
      </c>
      <c r="S9" s="13" t="n"/>
      <c r="T9" s="15">
        <f>IF(T22="","",IF(NOT(T13&gt;=0.6),"Conditional — ","")&amp;IF(T8&gt;=80,"Advance",IF(T8&gt;=65,"Consider",IF(T8&gt;=50,"Hold","Decline"))))</f>
        <v/>
      </c>
      <c r="U9" s="13" t="n"/>
      <c r="V9" s="15">
        <f>IF(V22="","",IF(NOT(V13&gt;=0.6),"Conditional — ","")&amp;IF(V8&gt;=80,"Advance",IF(V8&gt;=65,"Consider",IF(V8&gt;=50,"Hold","Decline"))))</f>
        <v/>
      </c>
      <c r="W9" s="13" t="n"/>
      <c r="X9" s="15">
        <f>IF(X22="","",IF(NOT(X13&gt;=0.6),"Conditional — ","")&amp;IF(X8&gt;=80,"Advance",IF(X8&gt;=65,"Consider",IF(X8&gt;=50,"Hold","Decline"))))</f>
        <v/>
      </c>
      <c r="Y9" s="13" t="n"/>
      <c r="Z9" s="15">
        <f>IF(Z22="","",IF(NOT(Z13&gt;=0.6),"Conditional — ","")&amp;IF(Z8&gt;=80,"Advance",IF(Z8&gt;=65,"Consider",IF(Z8&gt;=50,"Hold","Decline"))))</f>
        <v/>
      </c>
      <c r="AA9" s="13" t="n"/>
      <c r="AB9" s="15">
        <f>IF(AB22="","",IF(NOT(AB13&gt;=0.6),"Conditional — ","")&amp;IF(AB8&gt;=80,"Advance",IF(AB8&gt;=65,"Consider",IF(AB8&gt;=50,"Hold","Decline"))))</f>
        <v/>
      </c>
      <c r="AC9" s="13" t="n"/>
      <c r="AD9" s="15">
        <f>IF(AD22="","",IF(NOT(AD13&gt;=0.6),"Conditional — ","")&amp;IF(AD8&gt;=80,"Advance",IF(AD8&gt;=65,"Consider",IF(AD8&gt;=50,"Hold","Decline"))))</f>
        <v/>
      </c>
      <c r="AE9" s="13" t="n"/>
      <c r="AF9" s="15">
        <f>IF(AF22="","",IF(NOT(AF13&gt;=0.6),"Conditional — ","")&amp;IF(AF8&gt;=80,"Advance",IF(AF8&gt;=65,"Consider",IF(AF8&gt;=50,"Hold","Decline"))))</f>
        <v/>
      </c>
      <c r="AG9" s="13" t="n"/>
      <c r="AH9" s="15">
        <f>IF(AH22="","",IF(NOT(AH13&gt;=0.6),"Conditional — ","")&amp;IF(AH8&gt;=80,"Advance",IF(AH8&gt;=65,"Consider",IF(AH8&gt;=50,"Hold","Decline"))))</f>
        <v/>
      </c>
      <c r="AI9" s="13" t="n"/>
      <c r="AJ9" s="15">
        <f>IF(AJ22="","",IF(NOT(AJ13&gt;=0.6),"Conditional — ","")&amp;IF(AJ8&gt;=80,"Advance",IF(AJ8&gt;=65,"Consider",IF(AJ8&gt;=50,"Hold","Decline"))))</f>
        <v/>
      </c>
      <c r="AK9" s="13" t="n"/>
    </row>
    <row r="10" ht="18" customHeight="1">
      <c r="B10" s="16" t="inlineStr">
        <is>
          <t>Stop-checks</t>
        </is>
      </c>
      <c r="C10" s="11" t="inlineStr">
        <is>
          <t>of three</t>
        </is>
      </c>
      <c r="F10" s="17">
        <f>IF(F22="","",IF(F23="STOP-CHECK",1,0)+IF(F24="STOP-CHECK",1,0)+IF(F42="STOP-CHECK",1,0))</f>
        <v/>
      </c>
      <c r="G10" s="13" t="n"/>
      <c r="H10" s="17">
        <f>IF(H22="","",IF(H23="STOP-CHECK",1,0)+IF(H24="STOP-CHECK",1,0)+IF(H42="STOP-CHECK",1,0))</f>
        <v/>
      </c>
      <c r="I10" s="13" t="n"/>
      <c r="J10" s="17">
        <f>IF(J22="","",IF(J23="STOP-CHECK",1,0)+IF(J24="STOP-CHECK",1,0)+IF(J42="STOP-CHECK",1,0))</f>
        <v/>
      </c>
      <c r="K10" s="13" t="n"/>
      <c r="L10" s="17">
        <f>IF(L22="","",IF(L23="STOP-CHECK",1,0)+IF(L24="STOP-CHECK",1,0)+IF(L42="STOP-CHECK",1,0))</f>
        <v/>
      </c>
      <c r="M10" s="13" t="n"/>
      <c r="N10" s="17">
        <f>IF(N22="","",IF(N23="STOP-CHECK",1,0)+IF(N24="STOP-CHECK",1,0)+IF(N42="STOP-CHECK",1,0))</f>
        <v/>
      </c>
      <c r="O10" s="13" t="n"/>
      <c r="P10" s="17">
        <f>IF(P22="","",IF(P23="STOP-CHECK",1,0)+IF(P24="STOP-CHECK",1,0)+IF(P42="STOP-CHECK",1,0))</f>
        <v/>
      </c>
      <c r="Q10" s="13" t="n"/>
      <c r="R10" s="17">
        <f>IF(R22="","",IF(R23="STOP-CHECK",1,0)+IF(R24="STOP-CHECK",1,0)+IF(R42="STOP-CHECK",1,0))</f>
        <v/>
      </c>
      <c r="S10" s="13" t="n"/>
      <c r="T10" s="17">
        <f>IF(T22="","",IF(T23="STOP-CHECK",1,0)+IF(T24="STOP-CHECK",1,0)+IF(T42="STOP-CHECK",1,0))</f>
        <v/>
      </c>
      <c r="U10" s="13" t="n"/>
      <c r="V10" s="17">
        <f>IF(V22="","",IF(V23="STOP-CHECK",1,0)+IF(V24="STOP-CHECK",1,0)+IF(V42="STOP-CHECK",1,0))</f>
        <v/>
      </c>
      <c r="W10" s="13" t="n"/>
      <c r="X10" s="17">
        <f>IF(X22="","",IF(X23="STOP-CHECK",1,0)+IF(X24="STOP-CHECK",1,0)+IF(X42="STOP-CHECK",1,0))</f>
        <v/>
      </c>
      <c r="Y10" s="13" t="n"/>
      <c r="Z10" s="17">
        <f>IF(Z22="","",IF(Z23="STOP-CHECK",1,0)+IF(Z24="STOP-CHECK",1,0)+IF(Z42="STOP-CHECK",1,0))</f>
        <v/>
      </c>
      <c r="AA10" s="13" t="n"/>
      <c r="AB10" s="17">
        <f>IF(AB22="","",IF(AB23="STOP-CHECK",1,0)+IF(AB24="STOP-CHECK",1,0)+IF(AB42="STOP-CHECK",1,0))</f>
        <v/>
      </c>
      <c r="AC10" s="13" t="n"/>
      <c r="AD10" s="17">
        <f>IF(AD22="","",IF(AD23="STOP-CHECK",1,0)+IF(AD24="STOP-CHECK",1,0)+IF(AD42="STOP-CHECK",1,0))</f>
        <v/>
      </c>
      <c r="AE10" s="13" t="n"/>
      <c r="AF10" s="17">
        <f>IF(AF22="","",IF(AF23="STOP-CHECK",1,0)+IF(AF24="STOP-CHECK",1,0)+IF(AF42="STOP-CHECK",1,0))</f>
        <v/>
      </c>
      <c r="AG10" s="13" t="n"/>
      <c r="AH10" s="17">
        <f>IF(AH22="","",IF(AH23="STOP-CHECK",1,0)+IF(AH24="STOP-CHECK",1,0)+IF(AH42="STOP-CHECK",1,0))</f>
        <v/>
      </c>
      <c r="AI10" s="13" t="n"/>
      <c r="AJ10" s="17">
        <f>IF(AJ22="","",IF(AJ23="STOP-CHECK",1,0)+IF(AJ24="STOP-CHECK",1,0)+IF(AJ42="STOP-CHECK",1,0))</f>
        <v/>
      </c>
      <c r="AK10" s="13" t="n"/>
    </row>
    <row r="12" ht="18" customHeight="1">
      <c r="B12" s="18" t="inlineStr">
        <is>
          <t>SECTION GRADES   —   each on its own scale, unweighted</t>
        </is>
      </c>
    </row>
    <row r="13" ht="17" customHeight="1">
      <c r="B13" s="19" t="inlineStr">
        <is>
          <t>Home Care Home Base</t>
        </is>
      </c>
      <c r="F13" s="20">
        <f>IF(F22="","",(IFERROR(VLOOKUP(F22,Lists!$B$2:$C$7,2,FALSE),0))/20)</f>
        <v/>
      </c>
      <c r="G13" s="13" t="n"/>
      <c r="H13" s="20">
        <f>IF(H22="","",(IFERROR(VLOOKUP(H22,Lists!$B$2:$C$7,2,FALSE),0))/20)</f>
        <v/>
      </c>
      <c r="I13" s="13" t="n"/>
      <c r="J13" s="20">
        <f>IF(J22="","",(IFERROR(VLOOKUP(J22,Lists!$B$2:$C$7,2,FALSE),0))/20)</f>
        <v/>
      </c>
      <c r="K13" s="13" t="n"/>
      <c r="L13" s="20">
        <f>IF(L22="","",(IFERROR(VLOOKUP(L22,Lists!$B$2:$C$7,2,FALSE),0))/20)</f>
        <v/>
      </c>
      <c r="M13" s="13" t="n"/>
      <c r="N13" s="20">
        <f>IF(N22="","",(IFERROR(VLOOKUP(N22,Lists!$B$2:$C$7,2,FALSE),0))/20)</f>
        <v/>
      </c>
      <c r="O13" s="13" t="n"/>
      <c r="P13" s="20">
        <f>IF(P22="","",(IFERROR(VLOOKUP(P22,Lists!$B$2:$C$7,2,FALSE),0))/20)</f>
        <v/>
      </c>
      <c r="Q13" s="13" t="n"/>
      <c r="R13" s="20">
        <f>IF(R22="","",(IFERROR(VLOOKUP(R22,Lists!$B$2:$C$7,2,FALSE),0))/20)</f>
        <v/>
      </c>
      <c r="S13" s="13" t="n"/>
      <c r="T13" s="20">
        <f>IF(T22="","",(IFERROR(VLOOKUP(T22,Lists!$B$2:$C$7,2,FALSE),0))/20)</f>
        <v/>
      </c>
      <c r="U13" s="13" t="n"/>
      <c r="V13" s="20">
        <f>IF(V22="","",(IFERROR(VLOOKUP(V22,Lists!$B$2:$C$7,2,FALSE),0))/20)</f>
        <v/>
      </c>
      <c r="W13" s="13" t="n"/>
      <c r="X13" s="20">
        <f>IF(X22="","",(IFERROR(VLOOKUP(X22,Lists!$B$2:$C$7,2,FALSE),0))/20)</f>
        <v/>
      </c>
      <c r="Y13" s="13" t="n"/>
      <c r="Z13" s="20">
        <f>IF(Z22="","",(IFERROR(VLOOKUP(Z22,Lists!$B$2:$C$7,2,FALSE),0))/20)</f>
        <v/>
      </c>
      <c r="AA13" s="13" t="n"/>
      <c r="AB13" s="20">
        <f>IF(AB22="","",(IFERROR(VLOOKUP(AB22,Lists!$B$2:$C$7,2,FALSE),0))/20)</f>
        <v/>
      </c>
      <c r="AC13" s="13" t="n"/>
      <c r="AD13" s="20">
        <f>IF(AD22="","",(IFERROR(VLOOKUP(AD22,Lists!$B$2:$C$7,2,FALSE),0))/20)</f>
        <v/>
      </c>
      <c r="AE13" s="13" t="n"/>
      <c r="AF13" s="20">
        <f>IF(AF22="","",(IFERROR(VLOOKUP(AF22,Lists!$B$2:$C$7,2,FALSE),0))/20)</f>
        <v/>
      </c>
      <c r="AG13" s="13" t="n"/>
      <c r="AH13" s="20">
        <f>IF(AH22="","",(IFERROR(VLOOKUP(AH22,Lists!$B$2:$C$7,2,FALSE),0))/20)</f>
        <v/>
      </c>
      <c r="AI13" s="13" t="n"/>
      <c r="AJ13" s="20">
        <f>IF(AJ22="","",(IFERROR(VLOOKUP(AJ22,Lists!$B$2:$C$7,2,FALSE),0))/20)</f>
        <v/>
      </c>
      <c r="AK13" s="13" t="n"/>
    </row>
    <row r="14" ht="17" customHeight="1">
      <c r="B14" s="21" t="inlineStr">
        <is>
          <t>Capacity</t>
        </is>
      </c>
      <c r="F14" s="20">
        <f>IF(F22="","",(IFERROR(VALUE(LEFT(F28,1)),0)+IFERROR(VALUE(LEFT(F29,1)),0)+IFERROR(VALUE(LEFT(F30,1)),0))/12)</f>
        <v/>
      </c>
      <c r="G14" s="13" t="n"/>
      <c r="H14" s="20">
        <f>IF(H22="","",(IFERROR(VALUE(LEFT(H28,1)),0)+IFERROR(VALUE(LEFT(H29,1)),0)+IFERROR(VALUE(LEFT(H30,1)),0))/12)</f>
        <v/>
      </c>
      <c r="I14" s="13" t="n"/>
      <c r="J14" s="20">
        <f>IF(J22="","",(IFERROR(VALUE(LEFT(J28,1)),0)+IFERROR(VALUE(LEFT(J29,1)),0)+IFERROR(VALUE(LEFT(J30,1)),0))/12)</f>
        <v/>
      </c>
      <c r="K14" s="13" t="n"/>
      <c r="L14" s="20">
        <f>IF(L22="","",(IFERROR(VALUE(LEFT(L28,1)),0)+IFERROR(VALUE(LEFT(L29,1)),0)+IFERROR(VALUE(LEFT(L30,1)),0))/12)</f>
        <v/>
      </c>
      <c r="M14" s="13" t="n"/>
      <c r="N14" s="20">
        <f>IF(N22="","",(IFERROR(VALUE(LEFT(N28,1)),0)+IFERROR(VALUE(LEFT(N29,1)),0)+IFERROR(VALUE(LEFT(N30,1)),0))/12)</f>
        <v/>
      </c>
      <c r="O14" s="13" t="n"/>
      <c r="P14" s="20">
        <f>IF(P22="","",(IFERROR(VALUE(LEFT(P28,1)),0)+IFERROR(VALUE(LEFT(P29,1)),0)+IFERROR(VALUE(LEFT(P30,1)),0))/12)</f>
        <v/>
      </c>
      <c r="Q14" s="13" t="n"/>
      <c r="R14" s="20">
        <f>IF(R22="","",(IFERROR(VALUE(LEFT(R28,1)),0)+IFERROR(VALUE(LEFT(R29,1)),0)+IFERROR(VALUE(LEFT(R30,1)),0))/12)</f>
        <v/>
      </c>
      <c r="S14" s="13" t="n"/>
      <c r="T14" s="20">
        <f>IF(T22="","",(IFERROR(VALUE(LEFT(T28,1)),0)+IFERROR(VALUE(LEFT(T29,1)),0)+IFERROR(VALUE(LEFT(T30,1)),0))/12)</f>
        <v/>
      </c>
      <c r="U14" s="13" t="n"/>
      <c r="V14" s="20">
        <f>IF(V22="","",(IFERROR(VALUE(LEFT(V28,1)),0)+IFERROR(VALUE(LEFT(V29,1)),0)+IFERROR(VALUE(LEFT(V30,1)),0))/12)</f>
        <v/>
      </c>
      <c r="W14" s="13" t="n"/>
      <c r="X14" s="20">
        <f>IF(X22="","",(IFERROR(VALUE(LEFT(X28,1)),0)+IFERROR(VALUE(LEFT(X29,1)),0)+IFERROR(VALUE(LEFT(X30,1)),0))/12)</f>
        <v/>
      </c>
      <c r="Y14" s="13" t="n"/>
      <c r="Z14" s="20">
        <f>IF(Z22="","",(IFERROR(VALUE(LEFT(Z28,1)),0)+IFERROR(VALUE(LEFT(Z29,1)),0)+IFERROR(VALUE(LEFT(Z30,1)),0))/12)</f>
        <v/>
      </c>
      <c r="AA14" s="13" t="n"/>
      <c r="AB14" s="20">
        <f>IF(AB22="","",(IFERROR(VALUE(LEFT(AB28,1)),0)+IFERROR(VALUE(LEFT(AB29,1)),0)+IFERROR(VALUE(LEFT(AB30,1)),0))/12)</f>
        <v/>
      </c>
      <c r="AC14" s="13" t="n"/>
      <c r="AD14" s="20">
        <f>IF(AD22="","",(IFERROR(VALUE(LEFT(AD28,1)),0)+IFERROR(VALUE(LEFT(AD29,1)),0)+IFERROR(VALUE(LEFT(AD30,1)),0))/12)</f>
        <v/>
      </c>
      <c r="AE14" s="13" t="n"/>
      <c r="AF14" s="20">
        <f>IF(AF22="","",(IFERROR(VALUE(LEFT(AF28,1)),0)+IFERROR(VALUE(LEFT(AF29,1)),0)+IFERROR(VALUE(LEFT(AF30,1)),0))/12)</f>
        <v/>
      </c>
      <c r="AG14" s="13" t="n"/>
      <c r="AH14" s="20">
        <f>IF(AH22="","",(IFERROR(VALUE(LEFT(AH28,1)),0)+IFERROR(VALUE(LEFT(AH29,1)),0)+IFERROR(VALUE(LEFT(AH30,1)),0))/12)</f>
        <v/>
      </c>
      <c r="AI14" s="13" t="n"/>
      <c r="AJ14" s="20">
        <f>IF(AJ22="","",(IFERROR(VALUE(LEFT(AJ28,1)),0)+IFERROR(VALUE(LEFT(AJ29,1)),0)+IFERROR(VALUE(LEFT(AJ30,1)),0))/12)</f>
        <v/>
      </c>
      <c r="AK14" s="13" t="n"/>
    </row>
    <row r="15" ht="17" customHeight="1">
      <c r="B15" s="22" t="inlineStr">
        <is>
          <t>Scheduling</t>
        </is>
      </c>
      <c r="F15" s="20">
        <f>IF(F22="","",(IFERROR(VALUE(LEFT(F32,1)),0)+IFERROR(VALUE(LEFT(F33,1)),0)+IFERROR(VALUE(LEFT(F34,1)),0))/12)</f>
        <v/>
      </c>
      <c r="G15" s="13" t="n"/>
      <c r="H15" s="20">
        <f>IF(H22="","",(IFERROR(VALUE(LEFT(H32,1)),0)+IFERROR(VALUE(LEFT(H33,1)),0)+IFERROR(VALUE(LEFT(H34,1)),0))/12)</f>
        <v/>
      </c>
      <c r="I15" s="13" t="n"/>
      <c r="J15" s="20">
        <f>IF(J22="","",(IFERROR(VALUE(LEFT(J32,1)),0)+IFERROR(VALUE(LEFT(J33,1)),0)+IFERROR(VALUE(LEFT(J34,1)),0))/12)</f>
        <v/>
      </c>
      <c r="K15" s="13" t="n"/>
      <c r="L15" s="20">
        <f>IF(L22="","",(IFERROR(VALUE(LEFT(L32,1)),0)+IFERROR(VALUE(LEFT(L33,1)),0)+IFERROR(VALUE(LEFT(L34,1)),0))/12)</f>
        <v/>
      </c>
      <c r="M15" s="13" t="n"/>
      <c r="N15" s="20">
        <f>IF(N22="","",(IFERROR(VALUE(LEFT(N32,1)),0)+IFERROR(VALUE(LEFT(N33,1)),0)+IFERROR(VALUE(LEFT(N34,1)),0))/12)</f>
        <v/>
      </c>
      <c r="O15" s="13" t="n"/>
      <c r="P15" s="20">
        <f>IF(P22="","",(IFERROR(VALUE(LEFT(P32,1)),0)+IFERROR(VALUE(LEFT(P33,1)),0)+IFERROR(VALUE(LEFT(P34,1)),0))/12)</f>
        <v/>
      </c>
      <c r="Q15" s="13" t="n"/>
      <c r="R15" s="20">
        <f>IF(R22="","",(IFERROR(VALUE(LEFT(R32,1)),0)+IFERROR(VALUE(LEFT(R33,1)),0)+IFERROR(VALUE(LEFT(R34,1)),0))/12)</f>
        <v/>
      </c>
      <c r="S15" s="13" t="n"/>
      <c r="T15" s="20">
        <f>IF(T22="","",(IFERROR(VALUE(LEFT(T32,1)),0)+IFERROR(VALUE(LEFT(T33,1)),0)+IFERROR(VALUE(LEFT(T34,1)),0))/12)</f>
        <v/>
      </c>
      <c r="U15" s="13" t="n"/>
      <c r="V15" s="20">
        <f>IF(V22="","",(IFERROR(VALUE(LEFT(V32,1)),0)+IFERROR(VALUE(LEFT(V33,1)),0)+IFERROR(VALUE(LEFT(V34,1)),0))/12)</f>
        <v/>
      </c>
      <c r="W15" s="13" t="n"/>
      <c r="X15" s="20">
        <f>IF(X22="","",(IFERROR(VALUE(LEFT(X32,1)),0)+IFERROR(VALUE(LEFT(X33,1)),0)+IFERROR(VALUE(LEFT(X34,1)),0))/12)</f>
        <v/>
      </c>
      <c r="Y15" s="13" t="n"/>
      <c r="Z15" s="20">
        <f>IF(Z22="","",(IFERROR(VALUE(LEFT(Z32,1)),0)+IFERROR(VALUE(LEFT(Z33,1)),0)+IFERROR(VALUE(LEFT(Z34,1)),0))/12)</f>
        <v/>
      </c>
      <c r="AA15" s="13" t="n"/>
      <c r="AB15" s="20">
        <f>IF(AB22="","",(IFERROR(VALUE(LEFT(AB32,1)),0)+IFERROR(VALUE(LEFT(AB33,1)),0)+IFERROR(VALUE(LEFT(AB34,1)),0))/12)</f>
        <v/>
      </c>
      <c r="AC15" s="13" t="n"/>
      <c r="AD15" s="20">
        <f>IF(AD22="","",(IFERROR(VALUE(LEFT(AD32,1)),0)+IFERROR(VALUE(LEFT(AD33,1)),0)+IFERROR(VALUE(LEFT(AD34,1)),0))/12)</f>
        <v/>
      </c>
      <c r="AE15" s="13" t="n"/>
      <c r="AF15" s="20">
        <f>IF(AF22="","",(IFERROR(VALUE(LEFT(AF32,1)),0)+IFERROR(VALUE(LEFT(AF33,1)),0)+IFERROR(VALUE(LEFT(AF34,1)),0))/12)</f>
        <v/>
      </c>
      <c r="AG15" s="13" t="n"/>
      <c r="AH15" s="20">
        <f>IF(AH22="","",(IFERROR(VALUE(LEFT(AH32,1)),0)+IFERROR(VALUE(LEFT(AH33,1)),0)+IFERROR(VALUE(LEFT(AH34,1)),0))/12)</f>
        <v/>
      </c>
      <c r="AI15" s="13" t="n"/>
      <c r="AJ15" s="20">
        <f>IF(AJ22="","",(IFERROR(VALUE(LEFT(AJ32,1)),0)+IFERROR(VALUE(LEFT(AJ33,1)),0)+IFERROR(VALUE(LEFT(AJ34,1)),0))/12)</f>
        <v/>
      </c>
      <c r="AK15" s="13" t="n"/>
    </row>
    <row r="16" ht="17" customHeight="1">
      <c r="B16" s="23" t="inlineStr">
        <is>
          <t>Engagement</t>
        </is>
      </c>
      <c r="F16" s="20">
        <f>IF(F22="","",(IFERROR(VALUE(LEFT(F36,1)),0)+IFERROR(VALUE(LEFT(F37,1)),0)+IFERROR(VALUE(LEFT(F38,1)),0))/12)</f>
        <v/>
      </c>
      <c r="G16" s="13" t="n"/>
      <c r="H16" s="20">
        <f>IF(H22="","",(IFERROR(VALUE(LEFT(H36,1)),0)+IFERROR(VALUE(LEFT(H37,1)),0)+IFERROR(VALUE(LEFT(H38,1)),0))/12)</f>
        <v/>
      </c>
      <c r="I16" s="13" t="n"/>
      <c r="J16" s="20">
        <f>IF(J22="","",(IFERROR(VALUE(LEFT(J36,1)),0)+IFERROR(VALUE(LEFT(J37,1)),0)+IFERROR(VALUE(LEFT(J38,1)),0))/12)</f>
        <v/>
      </c>
      <c r="K16" s="13" t="n"/>
      <c r="L16" s="20">
        <f>IF(L22="","",(IFERROR(VALUE(LEFT(L36,1)),0)+IFERROR(VALUE(LEFT(L37,1)),0)+IFERROR(VALUE(LEFT(L38,1)),0))/12)</f>
        <v/>
      </c>
      <c r="M16" s="13" t="n"/>
      <c r="N16" s="20">
        <f>IF(N22="","",(IFERROR(VALUE(LEFT(N36,1)),0)+IFERROR(VALUE(LEFT(N37,1)),0)+IFERROR(VALUE(LEFT(N38,1)),0))/12)</f>
        <v/>
      </c>
      <c r="O16" s="13" t="n"/>
      <c r="P16" s="20">
        <f>IF(P22="","",(IFERROR(VALUE(LEFT(P36,1)),0)+IFERROR(VALUE(LEFT(P37,1)),0)+IFERROR(VALUE(LEFT(P38,1)),0))/12)</f>
        <v/>
      </c>
      <c r="Q16" s="13" t="n"/>
      <c r="R16" s="20">
        <f>IF(R22="","",(IFERROR(VALUE(LEFT(R36,1)),0)+IFERROR(VALUE(LEFT(R37,1)),0)+IFERROR(VALUE(LEFT(R38,1)),0))/12)</f>
        <v/>
      </c>
      <c r="S16" s="13" t="n"/>
      <c r="T16" s="20">
        <f>IF(T22="","",(IFERROR(VALUE(LEFT(T36,1)),0)+IFERROR(VALUE(LEFT(T37,1)),0)+IFERROR(VALUE(LEFT(T38,1)),0))/12)</f>
        <v/>
      </c>
      <c r="U16" s="13" t="n"/>
      <c r="V16" s="20">
        <f>IF(V22="","",(IFERROR(VALUE(LEFT(V36,1)),0)+IFERROR(VALUE(LEFT(V37,1)),0)+IFERROR(VALUE(LEFT(V38,1)),0))/12)</f>
        <v/>
      </c>
      <c r="W16" s="13" t="n"/>
      <c r="X16" s="20">
        <f>IF(X22="","",(IFERROR(VALUE(LEFT(X36,1)),0)+IFERROR(VALUE(LEFT(X37,1)),0)+IFERROR(VALUE(LEFT(X38,1)),0))/12)</f>
        <v/>
      </c>
      <c r="Y16" s="13" t="n"/>
      <c r="Z16" s="20">
        <f>IF(Z22="","",(IFERROR(VALUE(LEFT(Z36,1)),0)+IFERROR(VALUE(LEFT(Z37,1)),0)+IFERROR(VALUE(LEFT(Z38,1)),0))/12)</f>
        <v/>
      </c>
      <c r="AA16" s="13" t="n"/>
      <c r="AB16" s="20">
        <f>IF(AB22="","",(IFERROR(VALUE(LEFT(AB36,1)),0)+IFERROR(VALUE(LEFT(AB37,1)),0)+IFERROR(VALUE(LEFT(AB38,1)),0))/12)</f>
        <v/>
      </c>
      <c r="AC16" s="13" t="n"/>
      <c r="AD16" s="20">
        <f>IF(AD22="","",(IFERROR(VALUE(LEFT(AD36,1)),0)+IFERROR(VALUE(LEFT(AD37,1)),0)+IFERROR(VALUE(LEFT(AD38,1)),0))/12)</f>
        <v/>
      </c>
      <c r="AE16" s="13" t="n"/>
      <c r="AF16" s="20">
        <f>IF(AF22="","",(IFERROR(VALUE(LEFT(AF36,1)),0)+IFERROR(VALUE(LEFT(AF37,1)),0)+IFERROR(VALUE(LEFT(AF38,1)),0))/12)</f>
        <v/>
      </c>
      <c r="AG16" s="13" t="n"/>
      <c r="AH16" s="20">
        <f>IF(AH22="","",(IFERROR(VALUE(LEFT(AH36,1)),0)+IFERROR(VALUE(LEFT(AH37,1)),0)+IFERROR(VALUE(LEFT(AH38,1)),0))/12)</f>
        <v/>
      </c>
      <c r="AI16" s="13" t="n"/>
      <c r="AJ16" s="20">
        <f>IF(AJ22="","",(IFERROR(VALUE(LEFT(AJ36,1)),0)+IFERROR(VALUE(LEFT(AJ37,1)),0)+IFERROR(VALUE(LEFT(AJ38,1)),0))/12)</f>
        <v/>
      </c>
      <c r="AK16" s="13" t="n"/>
    </row>
    <row r="17" ht="17" customHeight="1">
      <c r="B17" s="24" t="inlineStr">
        <is>
          <t>Sophistication</t>
        </is>
      </c>
      <c r="F17" s="25">
        <f>IF(F22="","",(IFERROR(VALUE(LEFT(F41,1)),0))/4)</f>
        <v/>
      </c>
      <c r="G17" s="13" t="n"/>
      <c r="H17" s="25">
        <f>IF(H22="","",(IFERROR(VALUE(LEFT(H41,1)),0))/4)</f>
        <v/>
      </c>
      <c r="I17" s="13" t="n"/>
      <c r="J17" s="25">
        <f>IF(J22="","",(IFERROR(VALUE(LEFT(J41,1)),0))/4)</f>
        <v/>
      </c>
      <c r="K17" s="13" t="n"/>
      <c r="L17" s="25">
        <f>IF(L22="","",(IFERROR(VALUE(LEFT(L41,1)),0))/4)</f>
        <v/>
      </c>
      <c r="M17" s="13" t="n"/>
      <c r="N17" s="25">
        <f>IF(N22="","",(IFERROR(VALUE(LEFT(N41,1)),0))/4)</f>
        <v/>
      </c>
      <c r="O17" s="13" t="n"/>
      <c r="P17" s="25">
        <f>IF(P22="","",(IFERROR(VALUE(LEFT(P41,1)),0))/4)</f>
        <v/>
      </c>
      <c r="Q17" s="13" t="n"/>
      <c r="R17" s="25">
        <f>IF(R22="","",(IFERROR(VALUE(LEFT(R41,1)),0))/4)</f>
        <v/>
      </c>
      <c r="S17" s="13" t="n"/>
      <c r="T17" s="25">
        <f>IF(T22="","",(IFERROR(VALUE(LEFT(T41,1)),0))/4)</f>
        <v/>
      </c>
      <c r="U17" s="13" t="n"/>
      <c r="V17" s="25">
        <f>IF(V22="","",(IFERROR(VALUE(LEFT(V41,1)),0))/4)</f>
        <v/>
      </c>
      <c r="W17" s="13" t="n"/>
      <c r="X17" s="25">
        <f>IF(X22="","",(IFERROR(VALUE(LEFT(X41,1)),0))/4)</f>
        <v/>
      </c>
      <c r="Y17" s="13" t="n"/>
      <c r="Z17" s="25">
        <f>IF(Z22="","",(IFERROR(VALUE(LEFT(Z41,1)),0))/4)</f>
        <v/>
      </c>
      <c r="AA17" s="13" t="n"/>
      <c r="AB17" s="25">
        <f>IF(AB22="","",(IFERROR(VALUE(LEFT(AB41,1)),0))/4)</f>
        <v/>
      </c>
      <c r="AC17" s="13" t="n"/>
      <c r="AD17" s="25">
        <f>IF(AD22="","",(IFERROR(VALUE(LEFT(AD41,1)),0))/4)</f>
        <v/>
      </c>
      <c r="AE17" s="13" t="n"/>
      <c r="AF17" s="25">
        <f>IF(AF22="","",(IFERROR(VALUE(LEFT(AF41,1)),0))/4)</f>
        <v/>
      </c>
      <c r="AG17" s="13" t="n"/>
      <c r="AH17" s="25">
        <f>IF(AH22="","",(IFERROR(VALUE(LEFT(AH41,1)),0))/4)</f>
        <v/>
      </c>
      <c r="AI17" s="13" t="n"/>
      <c r="AJ17" s="25">
        <f>IF(AJ22="","",(IFERROR(VALUE(LEFT(AJ41,1)),0))/4)</f>
        <v/>
      </c>
      <c r="AK17" s="13" t="n"/>
    </row>
    <row r="18" ht="17" customHeight="1">
      <c r="B18" s="26" t="inlineStr">
        <is>
          <t>Clinician fit</t>
        </is>
      </c>
      <c r="F18" s="25">
        <f>IF(F22="","",(IFERROR(VALUE(LEFT(F45,1)),0))/4)</f>
        <v/>
      </c>
      <c r="G18" s="13" t="n"/>
      <c r="H18" s="25">
        <f>IF(H22="","",(IFERROR(VALUE(LEFT(H45,1)),0))/4)</f>
        <v/>
      </c>
      <c r="I18" s="13" t="n"/>
      <c r="J18" s="25">
        <f>IF(J22="","",(IFERROR(VALUE(LEFT(J45,1)),0))/4)</f>
        <v/>
      </c>
      <c r="K18" s="13" t="n"/>
      <c r="L18" s="25">
        <f>IF(L22="","",(IFERROR(VALUE(LEFT(L45,1)),0))/4)</f>
        <v/>
      </c>
      <c r="M18" s="13" t="n"/>
      <c r="N18" s="25">
        <f>IF(N22="","",(IFERROR(VALUE(LEFT(N45,1)),0))/4)</f>
        <v/>
      </c>
      <c r="O18" s="13" t="n"/>
      <c r="P18" s="25">
        <f>IF(P22="","",(IFERROR(VALUE(LEFT(P45,1)),0))/4)</f>
        <v/>
      </c>
      <c r="Q18" s="13" t="n"/>
      <c r="R18" s="25">
        <f>IF(R22="","",(IFERROR(VALUE(LEFT(R45,1)),0))/4)</f>
        <v/>
      </c>
      <c r="S18" s="13" t="n"/>
      <c r="T18" s="25">
        <f>IF(T22="","",(IFERROR(VALUE(LEFT(T45,1)),0))/4)</f>
        <v/>
      </c>
      <c r="U18" s="13" t="n"/>
      <c r="V18" s="25">
        <f>IF(V22="","",(IFERROR(VALUE(LEFT(V45,1)),0))/4)</f>
        <v/>
      </c>
      <c r="W18" s="13" t="n"/>
      <c r="X18" s="25">
        <f>IF(X22="","",(IFERROR(VALUE(LEFT(X45,1)),0))/4)</f>
        <v/>
      </c>
      <c r="Y18" s="13" t="n"/>
      <c r="Z18" s="25">
        <f>IF(Z22="","",(IFERROR(VALUE(LEFT(Z45,1)),0))/4)</f>
        <v/>
      </c>
      <c r="AA18" s="13" t="n"/>
      <c r="AB18" s="25">
        <f>IF(AB22="","",(IFERROR(VALUE(LEFT(AB45,1)),0))/4)</f>
        <v/>
      </c>
      <c r="AC18" s="13" t="n"/>
      <c r="AD18" s="25">
        <f>IF(AD22="","",(IFERROR(VALUE(LEFT(AD45,1)),0))/4)</f>
        <v/>
      </c>
      <c r="AE18" s="13" t="n"/>
      <c r="AF18" s="25">
        <f>IF(AF22="","",(IFERROR(VALUE(LEFT(AF45,1)),0))/4)</f>
        <v/>
      </c>
      <c r="AG18" s="13" t="n"/>
      <c r="AH18" s="25">
        <f>IF(AH22="","",(IFERROR(VALUE(LEFT(AH45,1)),0))/4)</f>
        <v/>
      </c>
      <c r="AI18" s="13" t="n"/>
      <c r="AJ18" s="25">
        <f>IF(AJ22="","",(IFERROR(VALUE(LEFT(AJ45,1)),0))/4)</f>
        <v/>
      </c>
      <c r="AK18" s="13" t="n"/>
    </row>
    <row r="19" ht="17" customHeight="1">
      <c r="B19" s="26" t="inlineStr">
        <is>
          <t>Partnership</t>
        </is>
      </c>
      <c r="F19" s="25">
        <f>IF(F22="","",(IFERROR(VALUE(LEFT(F48,1)),0))/4)</f>
        <v/>
      </c>
      <c r="G19" s="13" t="n"/>
      <c r="H19" s="25">
        <f>IF(H22="","",(IFERROR(VALUE(LEFT(H48,1)),0))/4)</f>
        <v/>
      </c>
      <c r="I19" s="13" t="n"/>
      <c r="J19" s="25">
        <f>IF(J22="","",(IFERROR(VALUE(LEFT(J48,1)),0))/4)</f>
        <v/>
      </c>
      <c r="K19" s="13" t="n"/>
      <c r="L19" s="25">
        <f>IF(L22="","",(IFERROR(VALUE(LEFT(L48,1)),0))/4)</f>
        <v/>
      </c>
      <c r="M19" s="13" t="n"/>
      <c r="N19" s="25">
        <f>IF(N22="","",(IFERROR(VALUE(LEFT(N48,1)),0))/4)</f>
        <v/>
      </c>
      <c r="O19" s="13" t="n"/>
      <c r="P19" s="25">
        <f>IF(P22="","",(IFERROR(VALUE(LEFT(P48,1)),0))/4)</f>
        <v/>
      </c>
      <c r="Q19" s="13" t="n"/>
      <c r="R19" s="25">
        <f>IF(R22="","",(IFERROR(VALUE(LEFT(R48,1)),0))/4)</f>
        <v/>
      </c>
      <c r="S19" s="13" t="n"/>
      <c r="T19" s="25">
        <f>IF(T22="","",(IFERROR(VALUE(LEFT(T48,1)),0))/4)</f>
        <v/>
      </c>
      <c r="U19" s="13" t="n"/>
      <c r="V19" s="25">
        <f>IF(V22="","",(IFERROR(VALUE(LEFT(V48,1)),0))/4)</f>
        <v/>
      </c>
      <c r="W19" s="13" t="n"/>
      <c r="X19" s="25">
        <f>IF(X22="","",(IFERROR(VALUE(LEFT(X48,1)),0))/4)</f>
        <v/>
      </c>
      <c r="Y19" s="13" t="n"/>
      <c r="Z19" s="25">
        <f>IF(Z22="","",(IFERROR(VALUE(LEFT(Z48,1)),0))/4)</f>
        <v/>
      </c>
      <c r="AA19" s="13" t="n"/>
      <c r="AB19" s="25">
        <f>IF(AB22="","",(IFERROR(VALUE(LEFT(AB48,1)),0))/4)</f>
        <v/>
      </c>
      <c r="AC19" s="13" t="n"/>
      <c r="AD19" s="25">
        <f>IF(AD22="","",(IFERROR(VALUE(LEFT(AD48,1)),0))/4)</f>
        <v/>
      </c>
      <c r="AE19" s="13" t="n"/>
      <c r="AF19" s="25">
        <f>IF(AF22="","",(IFERROR(VALUE(LEFT(AF48,1)),0))/4)</f>
        <v/>
      </c>
      <c r="AG19" s="13" t="n"/>
      <c r="AH19" s="25">
        <f>IF(AH22="","",(IFERROR(VALUE(LEFT(AH48,1)),0))/4)</f>
        <v/>
      </c>
      <c r="AI19" s="13" t="n"/>
      <c r="AJ19" s="25">
        <f>IF(AJ22="","",(IFERROR(VALUE(LEFT(AJ48,1)),0))/4)</f>
        <v/>
      </c>
      <c r="AK19" s="13" t="n"/>
    </row>
    <row r="21" ht="21" customHeight="1">
      <c r="B21" s="27" t="inlineStr">
        <is>
          <t>A  ·  COMPANY AND PRODUCT</t>
        </is>
      </c>
    </row>
    <row r="22" ht="30" customHeight="1">
      <c r="B22" s="28" t="inlineStr">
        <is>
          <t>A1</t>
        </is>
      </c>
      <c r="C22" s="29" t="inlineStr">
        <is>
          <t>Home Care Home Base integration</t>
        </is>
      </c>
      <c r="D22" s="30" t="inlineStr">
        <is>
          <t>Pick the line that matches their answer</t>
        </is>
      </c>
      <c r="E22" s="31">
        <f>'Start Here'!$C$10</f>
        <v/>
      </c>
      <c r="F22" s="32" t="inlineStr">
        <is>
          <t>Live — established customer base</t>
        </is>
      </c>
      <c r="G22" s="33" t="inlineStr">
        <is>
          <t>Live since Mar 2024, four HCHB customers, published API both ways. Says HCHB is authoritative for orders, they own assignment. CLAIM: bi-directional. EVIDENCE: named the conflict rule, which is the hard part — believable.</t>
        </is>
      </c>
      <c r="H22" s="32" t="inlineStr">
        <is>
          <t>Live — small customer base</t>
        </is>
      </c>
      <c r="I22" s="33" t="inlineStr">
        <is>
          <t>One customer, live 8 months. CLAIM: full integration. EVIDENCE: describes a nightly file drop. That is not the same thing — ask.</t>
        </is>
      </c>
      <c r="J22" s="32" t="inlineStr">
        <is>
          <t>In development — with a date</t>
        </is>
      </c>
      <c r="K22" s="33" t="inlineStr">
        <is>
          <t>Not live. Q2 2027 target, named an engineer and a scope. CLAIM is modest and EVIDENCE matches it — the most honest A1 we have had.</t>
        </is>
      </c>
      <c r="L22" s="32" t="n"/>
      <c r="M22" s="33" t="n"/>
      <c r="N22" s="32" t="n"/>
      <c r="O22" s="33" t="n"/>
      <c r="P22" s="32" t="n"/>
      <c r="Q22" s="33" t="n"/>
      <c r="R22" s="32" t="n"/>
      <c r="S22" s="33" t="n"/>
      <c r="T22" s="32" t="n"/>
      <c r="U22" s="33" t="n"/>
      <c r="V22" s="32" t="n"/>
      <c r="W22" s="33" t="n"/>
      <c r="X22" s="32" t="n"/>
      <c r="Y22" s="33" t="n"/>
      <c r="Z22" s="32" t="n"/>
      <c r="AA22" s="33" t="n"/>
      <c r="AB22" s="32" t="n"/>
      <c r="AC22" s="33" t="n"/>
      <c r="AD22" s="32" t="n"/>
      <c r="AE22" s="33" t="n"/>
      <c r="AF22" s="32" t="n"/>
      <c r="AG22" s="33" t="n"/>
      <c r="AH22" s="32" t="n"/>
      <c r="AI22" s="33" t="n"/>
      <c r="AJ22" s="32" t="n"/>
      <c r="AK22" s="33" t="n"/>
    </row>
    <row r="23" ht="24" customHeight="1">
      <c r="B23" s="34" t="inlineStr">
        <is>
          <t>A2</t>
        </is>
      </c>
      <c r="C23" s="35" t="inlineStr">
        <is>
          <t>Customers, scale and references</t>
        </is>
      </c>
      <c r="D23" s="36" t="inlineStr">
        <is>
          <t>Stop-check if one customer, or no references offered</t>
        </is>
      </c>
      <c r="E23" s="37" t="n"/>
      <c r="F23" s="38" t="inlineStr">
        <is>
          <t>OK</t>
        </is>
      </c>
      <c r="G23" s="39" t="n"/>
      <c r="H23" s="38" t="inlineStr">
        <is>
          <t>STOP-CHECK</t>
        </is>
      </c>
      <c r="I23" s="39" t="inlineStr">
        <is>
          <t>One customer. References 'available on request' — they did not commit.</t>
        </is>
      </c>
      <c r="J23" s="38" t="inlineStr">
        <is>
          <t>OK</t>
        </is>
      </c>
      <c r="K23" s="39" t="n"/>
      <c r="L23" s="38" t="n"/>
      <c r="M23" s="39" t="n"/>
      <c r="N23" s="38" t="n"/>
      <c r="O23" s="39" t="n"/>
      <c r="P23" s="38" t="n"/>
      <c r="Q23" s="39" t="n"/>
      <c r="R23" s="38" t="n"/>
      <c r="S23" s="39" t="n"/>
      <c r="T23" s="38" t="n"/>
      <c r="U23" s="39" t="n"/>
      <c r="V23" s="38" t="n"/>
      <c r="W23" s="39" t="n"/>
      <c r="X23" s="38" t="n"/>
      <c r="Y23" s="39" t="n"/>
      <c r="Z23" s="38" t="n"/>
      <c r="AA23" s="39" t="n"/>
      <c r="AB23" s="38" t="n"/>
      <c r="AC23" s="39" t="n"/>
      <c r="AD23" s="38" t="n"/>
      <c r="AE23" s="39" t="n"/>
      <c r="AF23" s="38" t="n"/>
      <c r="AG23" s="39" t="n"/>
      <c r="AH23" s="38" t="n"/>
      <c r="AI23" s="39" t="n"/>
      <c r="AJ23" s="38" t="n"/>
      <c r="AK23" s="39" t="n"/>
    </row>
    <row r="24" ht="24" customHeight="1">
      <c r="B24" s="34" t="inlineStr">
        <is>
          <t>A3</t>
        </is>
      </c>
      <c r="C24" s="35" t="inlineStr">
        <is>
          <t>Measured impact</t>
        </is>
      </c>
      <c r="D24" s="36" t="inlineStr">
        <is>
          <t>Watch if claimed with no baseline or period</t>
        </is>
      </c>
      <c r="E24" s="37" t="n"/>
      <c r="F24" s="38" t="inlineStr">
        <is>
          <t>Watch</t>
        </is>
      </c>
      <c r="G24" s="39" t="inlineStr">
        <is>
          <t>14% mileage reduction — one site, nine months. CLAIM is big, EVIDENCE is thin. Ask.</t>
        </is>
      </c>
      <c r="H24" s="38" t="inlineStr">
        <is>
          <t>Watch</t>
        </is>
      </c>
      <c r="I24" s="39" t="n"/>
      <c r="J24" s="38" t="inlineStr">
        <is>
          <t>OK</t>
        </is>
      </c>
      <c r="K24" s="39" t="n"/>
      <c r="L24" s="38" t="n"/>
      <c r="M24" s="39" t="n"/>
      <c r="N24" s="38" t="n"/>
      <c r="O24" s="39" t="n"/>
      <c r="P24" s="38" t="n"/>
      <c r="Q24" s="39" t="n"/>
      <c r="R24" s="38" t="n"/>
      <c r="S24" s="39" t="n"/>
      <c r="T24" s="38" t="n"/>
      <c r="U24" s="39" t="n"/>
      <c r="V24" s="38" t="n"/>
      <c r="W24" s="39" t="n"/>
      <c r="X24" s="38" t="n"/>
      <c r="Y24" s="39" t="n"/>
      <c r="Z24" s="38" t="n"/>
      <c r="AA24" s="39" t="n"/>
      <c r="AB24" s="38" t="n"/>
      <c r="AC24" s="39" t="n"/>
      <c r="AD24" s="38" t="n"/>
      <c r="AE24" s="39" t="n"/>
      <c r="AF24" s="38" t="n"/>
      <c r="AG24" s="39" t="n"/>
      <c r="AH24" s="38" t="n"/>
      <c r="AI24" s="39" t="n"/>
      <c r="AJ24" s="38" t="n"/>
      <c r="AK24" s="39" t="n"/>
    </row>
    <row r="26" ht="21" customHeight="1">
      <c r="B26" s="27" t="inlineStr">
        <is>
          <t>B  ·  COVERAGE SELF-ASSESSMENT   —   how much of our scope they cover</t>
        </is>
      </c>
    </row>
    <row r="27" ht="17" customHeight="1">
      <c r="B27" s="40" t="inlineStr">
        <is>
          <t>CAPACITY   —   three marks of 0–4</t>
        </is>
      </c>
    </row>
    <row r="28" ht="24" customHeight="1">
      <c r="B28" s="34" t="inlineStr">
        <is>
          <t>Section B</t>
        </is>
      </c>
      <c r="C28" s="35" t="inlineStr">
        <is>
          <t>Workforce supply</t>
        </is>
      </c>
      <c r="D28" s="36" t="inlineStr">
        <is>
          <t>Roster, disciplines, roles, competencies, ramp, float pool</t>
        </is>
      </c>
      <c r="E28" s="41">
        <f>'Start Here'!$C$11</f>
        <v/>
      </c>
      <c r="F28" s="38" t="inlineStr">
        <is>
          <t>4 — Most of it</t>
        </is>
      </c>
      <c r="G28" s="39" t="n"/>
      <c r="H28" s="38" t="inlineStr">
        <is>
          <t>2 — About half</t>
        </is>
      </c>
      <c r="I28" s="39" t="n"/>
      <c r="J28" s="38" t="inlineStr">
        <is>
          <t>2 — About half</t>
        </is>
      </c>
      <c r="K28" s="39" t="n"/>
      <c r="L28" s="38" t="n"/>
      <c r="M28" s="39" t="n"/>
      <c r="N28" s="38" t="n"/>
      <c r="O28" s="39" t="n"/>
      <c r="P28" s="38" t="n"/>
      <c r="Q28" s="39" t="n"/>
      <c r="R28" s="38" t="n"/>
      <c r="S28" s="39" t="n"/>
      <c r="T28" s="38" t="n"/>
      <c r="U28" s="39" t="n"/>
      <c r="V28" s="38" t="n"/>
      <c r="W28" s="39" t="n"/>
      <c r="X28" s="38" t="n"/>
      <c r="Y28" s="39" t="n"/>
      <c r="Z28" s="38" t="n"/>
      <c r="AA28" s="39" t="n"/>
      <c r="AB28" s="38" t="n"/>
      <c r="AC28" s="39" t="n"/>
      <c r="AD28" s="38" t="n"/>
      <c r="AE28" s="39" t="n"/>
      <c r="AF28" s="38" t="n"/>
      <c r="AG28" s="39" t="n"/>
      <c r="AH28" s="38" t="n"/>
      <c r="AI28" s="39" t="n"/>
      <c r="AJ28" s="38" t="n"/>
      <c r="AK28" s="39" t="n"/>
    </row>
    <row r="29" ht="24" customHeight="1">
      <c r="B29" s="34" t="inlineStr">
        <is>
          <t>Section B</t>
        </is>
      </c>
      <c r="C29" s="35" t="inlineStr">
        <is>
          <t>Availability &amp; reach</t>
        </is>
      </c>
      <c r="D29" s="36" t="inlineStr">
        <is>
          <t>Availability and time off, territory, drive-time reachability</t>
        </is>
      </c>
      <c r="F29" s="38" t="inlineStr">
        <is>
          <t>3 — More than half</t>
        </is>
      </c>
      <c r="G29" s="39" t="n"/>
      <c r="H29" s="38" t="inlineStr">
        <is>
          <t>1 — A corner of it</t>
        </is>
      </c>
      <c r="I29" s="39" t="n"/>
      <c r="J29" s="38" t="inlineStr">
        <is>
          <t>2 — About half</t>
        </is>
      </c>
      <c r="K29" s="39" t="n"/>
      <c r="L29" s="38" t="n"/>
      <c r="M29" s="39" t="n"/>
      <c r="N29" s="38" t="n"/>
      <c r="O29" s="39" t="n"/>
      <c r="P29" s="38" t="n"/>
      <c r="Q29" s="39" t="n"/>
      <c r="R29" s="38" t="n"/>
      <c r="S29" s="39" t="n"/>
      <c r="T29" s="38" t="n"/>
      <c r="U29" s="39" t="n"/>
      <c r="V29" s="38" t="n"/>
      <c r="W29" s="39" t="n"/>
      <c r="X29" s="38" t="n"/>
      <c r="Y29" s="39" t="n"/>
      <c r="Z29" s="38" t="n"/>
      <c r="AA29" s="39" t="n"/>
      <c r="AB29" s="38" t="n"/>
      <c r="AC29" s="39" t="n"/>
      <c r="AD29" s="38" t="n"/>
      <c r="AE29" s="39" t="n"/>
      <c r="AF29" s="38" t="n"/>
      <c r="AG29" s="39" t="n"/>
      <c r="AH29" s="38" t="n"/>
      <c r="AI29" s="39" t="n"/>
      <c r="AJ29" s="38" t="n"/>
      <c r="AK29" s="39" t="n"/>
    </row>
    <row r="30" ht="24" customHeight="1">
      <c r="B30" s="34" t="inlineStr">
        <is>
          <t>Section B</t>
        </is>
      </c>
      <c r="C30" s="35" t="inlineStr">
        <is>
          <t>The capacity math</t>
        </is>
      </c>
      <c r="D30" s="36" t="inlineStr">
        <is>
          <t>Visit weighting, targets and ceilings, committed load vs. open room</t>
        </is>
      </c>
      <c r="F30" s="38" t="inlineStr">
        <is>
          <t>4 — Most of it</t>
        </is>
      </c>
      <c r="G30" s="39" t="inlineStr">
        <is>
          <t>Visit points against a weekly target, committed vs open by day and territory (C1). CLAIM and EVIDENCE line up.</t>
        </is>
      </c>
      <c r="H30" s="38" t="inlineStr">
        <is>
          <t>1 — A corner of it</t>
        </is>
      </c>
      <c r="I30" s="39" t="n"/>
      <c r="J30" s="38" t="inlineStr">
        <is>
          <t>3 — More than half</t>
        </is>
      </c>
      <c r="K30" s="39" t="n"/>
      <c r="L30" s="38" t="n"/>
      <c r="M30" s="39" t="n"/>
      <c r="N30" s="38" t="n"/>
      <c r="O30" s="39" t="n"/>
      <c r="P30" s="38" t="n"/>
      <c r="Q30" s="39" t="n"/>
      <c r="R30" s="38" t="n"/>
      <c r="S30" s="39" t="n"/>
      <c r="T30" s="38" t="n"/>
      <c r="U30" s="39" t="n"/>
      <c r="V30" s="38" t="n"/>
      <c r="W30" s="39" t="n"/>
      <c r="X30" s="38" t="n"/>
      <c r="Y30" s="39" t="n"/>
      <c r="Z30" s="38" t="n"/>
      <c r="AA30" s="39" t="n"/>
      <c r="AB30" s="38" t="n"/>
      <c r="AC30" s="39" t="n"/>
      <c r="AD30" s="38" t="n"/>
      <c r="AE30" s="39" t="n"/>
      <c r="AF30" s="38" t="n"/>
      <c r="AG30" s="39" t="n"/>
      <c r="AH30" s="38" t="n"/>
      <c r="AI30" s="39" t="n"/>
      <c r="AJ30" s="38" t="n"/>
      <c r="AK30" s="39" t="n"/>
    </row>
    <row r="31" ht="17" customHeight="1">
      <c r="B31" s="42" t="inlineStr">
        <is>
          <t>SCHEDULING   —   three marks of 0–4</t>
        </is>
      </c>
    </row>
    <row r="32" ht="24" customHeight="1">
      <c r="B32" s="28" t="inlineStr">
        <is>
          <t>Section B</t>
        </is>
      </c>
      <c r="C32" s="29" t="inlineStr">
        <is>
          <t>Demand &amp; matching</t>
        </is>
      </c>
      <c r="D32" s="30" t="inlineStr">
        <is>
          <t>Ordered visits, authorization, readiness — and who fits them</t>
        </is>
      </c>
      <c r="E32" s="43">
        <f>'Start Here'!$C$12</f>
        <v/>
      </c>
      <c r="F32" s="32" t="inlineStr">
        <is>
          <t>4 — Most of it</t>
        </is>
      </c>
      <c r="G32" s="33" t="n"/>
      <c r="H32" s="32" t="inlineStr">
        <is>
          <t>3 — More than half</t>
        </is>
      </c>
      <c r="I32" s="33" t="n"/>
      <c r="J32" s="32" t="inlineStr">
        <is>
          <t>3 — More than half</t>
        </is>
      </c>
      <c r="K32" s="33" t="n"/>
      <c r="L32" s="32" t="n"/>
      <c r="M32" s="33" t="n"/>
      <c r="N32" s="32" t="n"/>
      <c r="O32" s="33" t="n"/>
      <c r="P32" s="32" t="n"/>
      <c r="Q32" s="33" t="n"/>
      <c r="R32" s="32" t="n"/>
      <c r="S32" s="33" t="n"/>
      <c r="T32" s="32" t="n"/>
      <c r="U32" s="33" t="n"/>
      <c r="V32" s="32" t="n"/>
      <c r="W32" s="33" t="n"/>
      <c r="X32" s="32" t="n"/>
      <c r="Y32" s="33" t="n"/>
      <c r="Z32" s="32" t="n"/>
      <c r="AA32" s="33" t="n"/>
      <c r="AB32" s="32" t="n"/>
      <c r="AC32" s="33" t="n"/>
      <c r="AD32" s="32" t="n"/>
      <c r="AE32" s="33" t="n"/>
      <c r="AF32" s="32" t="n"/>
      <c r="AG32" s="33" t="n"/>
      <c r="AH32" s="32" t="n"/>
      <c r="AI32" s="33" t="n"/>
      <c r="AJ32" s="32" t="n"/>
      <c r="AK32" s="33" t="n"/>
    </row>
    <row r="33" ht="24" customHeight="1">
      <c r="B33" s="28" t="inlineStr">
        <is>
          <t>Section B</t>
        </is>
      </c>
      <c r="C33" s="29" t="inlineStr">
        <is>
          <t>Routing &amp; the week</t>
        </is>
      </c>
      <c r="D33" s="30" t="inlineStr">
        <is>
          <t>Routing, sequencing, front-loading, week balancing</t>
        </is>
      </c>
      <c r="F33" s="32" t="inlineStr">
        <is>
          <t>4 — Most of it</t>
        </is>
      </c>
      <c r="G33" s="33" t="n"/>
      <c r="H33" s="32" t="inlineStr">
        <is>
          <t>4 — Most of it</t>
        </is>
      </c>
      <c r="I33" s="33" t="inlineStr">
        <is>
          <t>Genuine routing optimiser, OpenStreetMap, mileage cost function (C2). Best routing answer in the field so far.</t>
        </is>
      </c>
      <c r="J33" s="32" t="inlineStr">
        <is>
          <t>3 — More than half</t>
        </is>
      </c>
      <c r="K33" s="33" t="n"/>
      <c r="L33" s="32" t="n"/>
      <c r="M33" s="33" t="n"/>
      <c r="N33" s="32" t="n"/>
      <c r="O33" s="33" t="n"/>
      <c r="P33" s="32" t="n"/>
      <c r="Q33" s="33" t="n"/>
      <c r="R33" s="32" t="n"/>
      <c r="S33" s="33" t="n"/>
      <c r="T33" s="32" t="n"/>
      <c r="U33" s="33" t="n"/>
      <c r="V33" s="32" t="n"/>
      <c r="W33" s="33" t="n"/>
      <c r="X33" s="32" t="n"/>
      <c r="Y33" s="33" t="n"/>
      <c r="Z33" s="32" t="n"/>
      <c r="AA33" s="33" t="n"/>
      <c r="AB33" s="32" t="n"/>
      <c r="AC33" s="33" t="n"/>
      <c r="AD33" s="32" t="n"/>
      <c r="AE33" s="33" t="n"/>
      <c r="AF33" s="32" t="n"/>
      <c r="AG33" s="33" t="n"/>
      <c r="AH33" s="32" t="n"/>
      <c r="AI33" s="33" t="n"/>
      <c r="AJ33" s="32" t="n"/>
      <c r="AK33" s="33" t="n"/>
    </row>
    <row r="34" ht="24" customHeight="1">
      <c r="B34" s="28" t="inlineStr">
        <is>
          <t>Section B</t>
        </is>
      </c>
      <c r="C34" s="29" t="inlineStr">
        <is>
          <t>Exceptions</t>
        </is>
      </c>
      <c r="D34" s="30" t="inlineStr">
        <is>
          <t>Missed visits, call-outs, reassignment, coverage, rebooking</t>
        </is>
      </c>
      <c r="F34" s="32" t="inlineStr">
        <is>
          <t>3 — More than half</t>
        </is>
      </c>
      <c r="G34" s="33" t="n"/>
      <c r="H34" s="32" t="inlineStr">
        <is>
          <t>2 — About half</t>
        </is>
      </c>
      <c r="I34" s="33" t="n"/>
      <c r="J34" s="32" t="inlineStr">
        <is>
          <t>3 — More than half</t>
        </is>
      </c>
      <c r="K34" s="33" t="n"/>
      <c r="L34" s="32" t="n"/>
      <c r="M34" s="33" t="n"/>
      <c r="N34" s="32" t="n"/>
      <c r="O34" s="33" t="n"/>
      <c r="P34" s="32" t="n"/>
      <c r="Q34" s="33" t="n"/>
      <c r="R34" s="32" t="n"/>
      <c r="S34" s="33" t="n"/>
      <c r="T34" s="32" t="n"/>
      <c r="U34" s="33" t="n"/>
      <c r="V34" s="32" t="n"/>
      <c r="W34" s="33" t="n"/>
      <c r="X34" s="32" t="n"/>
      <c r="Y34" s="33" t="n"/>
      <c r="Z34" s="32" t="n"/>
      <c r="AA34" s="33" t="n"/>
      <c r="AB34" s="32" t="n"/>
      <c r="AC34" s="33" t="n"/>
      <c r="AD34" s="32" t="n"/>
      <c r="AE34" s="33" t="n"/>
      <c r="AF34" s="32" t="n"/>
      <c r="AG34" s="33" t="n"/>
      <c r="AH34" s="32" t="n"/>
      <c r="AI34" s="33" t="n"/>
      <c r="AJ34" s="32" t="n"/>
      <c r="AK34" s="33" t="n"/>
    </row>
    <row r="35" ht="17" customHeight="1">
      <c r="B35" s="44" t="inlineStr">
        <is>
          <t>ENGAGEMENT   —   three marks of 0–4</t>
        </is>
      </c>
    </row>
    <row r="36" ht="24" customHeight="1">
      <c r="B36" s="34" t="inlineStr">
        <is>
          <t>Section B</t>
        </is>
      </c>
      <c r="C36" s="35" t="inlineStr">
        <is>
          <t>Before the visit</t>
        </is>
      </c>
      <c r="D36" s="36" t="inlineStr">
        <is>
          <t>Welcome call, availability capture, reminders, confirmation, en-route</t>
        </is>
      </c>
      <c r="E36" s="45">
        <f>'Start Here'!$C$13</f>
        <v/>
      </c>
      <c r="F36" s="38" t="inlineStr">
        <is>
          <t>2 — About half</t>
        </is>
      </c>
      <c r="G36" s="39" t="n"/>
      <c r="H36" s="38" t="inlineStr">
        <is>
          <t>1 — A corner of it</t>
        </is>
      </c>
      <c r="I36" s="39" t="n"/>
      <c r="J36" s="38" t="inlineStr">
        <is>
          <t>3 — More than half</t>
        </is>
      </c>
      <c r="K36" s="39" t="n"/>
      <c r="L36" s="38" t="n"/>
      <c r="M36" s="39" t="n"/>
      <c r="N36" s="38" t="n"/>
      <c r="O36" s="39" t="n"/>
      <c r="P36" s="38" t="n"/>
      <c r="Q36" s="39" t="n"/>
      <c r="R36" s="38" t="n"/>
      <c r="S36" s="39" t="n"/>
      <c r="T36" s="38" t="n"/>
      <c r="U36" s="39" t="n"/>
      <c r="V36" s="38" t="n"/>
      <c r="W36" s="39" t="n"/>
      <c r="X36" s="38" t="n"/>
      <c r="Y36" s="39" t="n"/>
      <c r="Z36" s="38" t="n"/>
      <c r="AA36" s="39" t="n"/>
      <c r="AB36" s="38" t="n"/>
      <c r="AC36" s="39" t="n"/>
      <c r="AD36" s="38" t="n"/>
      <c r="AE36" s="39" t="n"/>
      <c r="AF36" s="38" t="n"/>
      <c r="AG36" s="39" t="n"/>
      <c r="AH36" s="38" t="n"/>
      <c r="AI36" s="39" t="n"/>
      <c r="AJ36" s="38" t="n"/>
      <c r="AK36" s="39" t="n"/>
    </row>
    <row r="37" ht="24" customHeight="1">
      <c r="B37" s="34" t="inlineStr">
        <is>
          <t>Section B</t>
        </is>
      </c>
      <c r="C37" s="35" t="inlineStr">
        <is>
          <t>When plans change</t>
        </is>
      </c>
      <c r="D37" s="36" t="inlineStr">
        <is>
          <t>Reschedule, coverage outreach, urgent same-day needs, incentives</t>
        </is>
      </c>
      <c r="F37" s="38" t="inlineStr">
        <is>
          <t>2 — About half</t>
        </is>
      </c>
      <c r="G37" s="39" t="n"/>
      <c r="H37" s="38" t="inlineStr">
        <is>
          <t>1 — A corner of it</t>
        </is>
      </c>
      <c r="I37" s="39" t="n"/>
      <c r="J37" s="38" t="inlineStr">
        <is>
          <t>4 — Most of it</t>
        </is>
      </c>
      <c r="K37" s="39" t="inlineStr">
        <is>
          <t>Agentic outreach genuinely running — voice and text, staff can take the conversation back mid-call (C7).</t>
        </is>
      </c>
      <c r="L37" s="38" t="n"/>
      <c r="M37" s="39" t="n"/>
      <c r="N37" s="38" t="n"/>
      <c r="O37" s="39" t="n"/>
      <c r="P37" s="38" t="n"/>
      <c r="Q37" s="39" t="n"/>
      <c r="R37" s="38" t="n"/>
      <c r="S37" s="39" t="n"/>
      <c r="T37" s="38" t="n"/>
      <c r="U37" s="39" t="n"/>
      <c r="V37" s="38" t="n"/>
      <c r="W37" s="39" t="n"/>
      <c r="X37" s="38" t="n"/>
      <c r="Y37" s="39" t="n"/>
      <c r="Z37" s="38" t="n"/>
      <c r="AA37" s="39" t="n"/>
      <c r="AB37" s="38" t="n"/>
      <c r="AC37" s="39" t="n"/>
      <c r="AD37" s="38" t="n"/>
      <c r="AE37" s="39" t="n"/>
      <c r="AF37" s="38" t="n"/>
      <c r="AG37" s="39" t="n"/>
      <c r="AH37" s="38" t="n"/>
      <c r="AI37" s="39" t="n"/>
      <c r="AJ37" s="38" t="n"/>
      <c r="AK37" s="39" t="n"/>
    </row>
    <row r="38" ht="24" customHeight="1">
      <c r="B38" s="34" t="inlineStr">
        <is>
          <t>Section B</t>
        </is>
      </c>
      <c r="C38" s="35" t="inlineStr">
        <is>
          <t>Across the care team</t>
        </is>
      </c>
      <c r="D38" s="36" t="inlineStr">
        <is>
          <t>Multi-discipline coordination, clinician and office updates</t>
        </is>
      </c>
      <c r="F38" s="38" t="inlineStr">
        <is>
          <t>1 — A corner of it</t>
        </is>
      </c>
      <c r="G38" s="39" t="n"/>
      <c r="H38" s="38" t="inlineStr">
        <is>
          <t>0 — Nothing here</t>
        </is>
      </c>
      <c r="I38" s="39" t="n"/>
      <c r="J38" s="38" t="inlineStr">
        <is>
          <t>2 — About half</t>
        </is>
      </c>
      <c r="K38" s="39" t="n"/>
      <c r="L38" s="38" t="n"/>
      <c r="M38" s="39" t="n"/>
      <c r="N38" s="38" t="n"/>
      <c r="O38" s="39" t="n"/>
      <c r="P38" s="38" t="n"/>
      <c r="Q38" s="39" t="n"/>
      <c r="R38" s="38" t="n"/>
      <c r="S38" s="39" t="n"/>
      <c r="T38" s="38" t="n"/>
      <c r="U38" s="39" t="n"/>
      <c r="V38" s="38" t="n"/>
      <c r="W38" s="39" t="n"/>
      <c r="X38" s="38" t="n"/>
      <c r="Y38" s="39" t="n"/>
      <c r="Z38" s="38" t="n"/>
      <c r="AA38" s="39" t="n"/>
      <c r="AB38" s="38" t="n"/>
      <c r="AC38" s="39" t="n"/>
      <c r="AD38" s="38" t="n"/>
      <c r="AE38" s="39" t="n"/>
      <c r="AF38" s="38" t="n"/>
      <c r="AG38" s="39" t="n"/>
      <c r="AH38" s="38" t="n"/>
      <c r="AI38" s="39" t="n"/>
      <c r="AJ38" s="38" t="n"/>
      <c r="AK38" s="39" t="n"/>
    </row>
    <row r="40" ht="21" customHeight="1">
      <c r="B40" s="27" t="inlineStr">
        <is>
          <t>C  ·  HOW YOUR PRODUCT WORKS</t>
        </is>
      </c>
    </row>
    <row r="41" ht="26" customHeight="1">
      <c r="B41" s="28" t="inlineStr">
        <is>
          <t>Section C</t>
        </is>
      </c>
      <c r="C41" s="29" t="inlineStr">
        <is>
          <t>Sophistication</t>
        </is>
      </c>
      <c r="D41" s="30" t="inlineStr">
        <is>
          <t>How much of the work the product does</t>
        </is>
      </c>
      <c r="E41" s="46">
        <f>'Start Here'!$C$14</f>
        <v/>
      </c>
      <c r="F41" s="32" t="inlineStr">
        <is>
          <t>4 — Runs it</t>
        </is>
      </c>
      <c r="G41" s="33" t="inlineStr">
        <is>
          <t>Constraint solver, named weights, shows envelope impact before a referral is accepted. Only answer that does this.</t>
        </is>
      </c>
      <c r="H41" s="32" t="inlineStr">
        <is>
          <t>3 — Recommends it</t>
        </is>
      </c>
      <c r="I41" s="33" t="n"/>
      <c r="J41" s="32" t="inlineStr">
        <is>
          <t>3 — Recommends it</t>
        </is>
      </c>
      <c r="K41" s="33" t="n"/>
      <c r="L41" s="32" t="n"/>
      <c r="M41" s="33" t="n"/>
      <c r="N41" s="32" t="n"/>
      <c r="O41" s="33" t="n"/>
      <c r="P41" s="32" t="n"/>
      <c r="Q41" s="33" t="n"/>
      <c r="R41" s="32" t="n"/>
      <c r="S41" s="33" t="n"/>
      <c r="T41" s="32" t="n"/>
      <c r="U41" s="33" t="n"/>
      <c r="V41" s="32" t="n"/>
      <c r="W41" s="33" t="n"/>
      <c r="X41" s="32" t="n"/>
      <c r="Y41" s="33" t="n"/>
      <c r="Z41" s="32" t="n"/>
      <c r="AA41" s="33" t="n"/>
      <c r="AB41" s="32" t="n"/>
      <c r="AC41" s="33" t="n"/>
      <c r="AD41" s="32" t="n"/>
      <c r="AE41" s="33" t="n"/>
      <c r="AF41" s="32" t="n"/>
      <c r="AG41" s="33" t="n"/>
      <c r="AH41" s="32" t="n"/>
      <c r="AI41" s="33" t="n"/>
      <c r="AJ41" s="32" t="n"/>
      <c r="AK41" s="33" t="n"/>
    </row>
    <row r="42" ht="24" customHeight="1">
      <c r="B42" s="34" t="inlineStr">
        <is>
          <t>C6</t>
        </is>
      </c>
      <c r="C42" s="35" t="inlineStr">
        <is>
          <t>When your product is down</t>
        </is>
      </c>
      <c r="D42" s="36" t="inlineStr">
        <is>
          <t>Stop-check if no uptime figure or contractual commitment</t>
        </is>
      </c>
      <c r="E42" s="37" t="n"/>
      <c r="F42" s="38" t="inlineStr">
        <is>
          <t>OK</t>
        </is>
      </c>
      <c r="G42" s="39" t="n"/>
      <c r="H42" s="38" t="inlineStr">
        <is>
          <t>OK</t>
        </is>
      </c>
      <c r="I42" s="39" t="n"/>
      <c r="J42" s="38" t="inlineStr">
        <is>
          <t>Watch</t>
        </is>
      </c>
      <c r="K42" s="39" t="inlineStr">
        <is>
          <t>99.5% stated, no contractual commitment named. Ask.</t>
        </is>
      </c>
      <c r="L42" s="38" t="n"/>
      <c r="M42" s="39" t="n"/>
      <c r="N42" s="38" t="n"/>
      <c r="O42" s="39" t="n"/>
      <c r="P42" s="38" t="n"/>
      <c r="Q42" s="39" t="n"/>
      <c r="R42" s="38" t="n"/>
      <c r="S42" s="39" t="n"/>
      <c r="T42" s="38" t="n"/>
      <c r="U42" s="39" t="n"/>
      <c r="V42" s="38" t="n"/>
      <c r="W42" s="39" t="n"/>
      <c r="X42" s="38" t="n"/>
      <c r="Y42" s="39" t="n"/>
      <c r="Z42" s="38" t="n"/>
      <c r="AA42" s="39" t="n"/>
      <c r="AB42" s="38" t="n"/>
      <c r="AC42" s="39" t="n"/>
      <c r="AD42" s="38" t="n"/>
      <c r="AE42" s="39" t="n"/>
      <c r="AF42" s="38" t="n"/>
      <c r="AG42" s="39" t="n"/>
      <c r="AH42" s="38" t="n"/>
      <c r="AI42" s="39" t="n"/>
      <c r="AJ42" s="38" t="n"/>
      <c r="AK42" s="39" t="n"/>
    </row>
    <row r="44" ht="21" customHeight="1">
      <c r="B44" s="27" t="inlineStr">
        <is>
          <t>D  ·  THE CLINICIAN'S PLACE IN THE MODEL</t>
        </is>
      </c>
    </row>
    <row r="45" ht="26" customHeight="1">
      <c r="B45" s="28" t="inlineStr">
        <is>
          <t>D1–D3</t>
        </is>
      </c>
      <c r="C45" s="29" t="inlineStr">
        <is>
          <t>Clinician fit</t>
        </is>
      </c>
      <c r="D45" s="30" t="inlineStr">
        <is>
          <t>Our own read of fit — no checklist, on purpose</t>
        </is>
      </c>
      <c r="E45" s="47">
        <f>'Start Here'!$C$15</f>
        <v/>
      </c>
      <c r="F45" s="32" t="inlineStr">
        <is>
          <t>3 — Good fit</t>
        </is>
      </c>
      <c r="G45" s="33" t="n"/>
      <c r="H45" s="32" t="inlineStr">
        <is>
          <t>2 — Workable</t>
        </is>
      </c>
      <c r="I45" s="33" t="n"/>
      <c r="J45" s="32" t="inlineStr">
        <is>
          <t>3 — Good fit</t>
        </is>
      </c>
      <c r="K45" s="33" t="n"/>
      <c r="L45" s="32" t="n"/>
      <c r="M45" s="33" t="n"/>
      <c r="N45" s="32" t="n"/>
      <c r="O45" s="33" t="n"/>
      <c r="P45" s="32" t="n"/>
      <c r="Q45" s="33" t="n"/>
      <c r="R45" s="32" t="n"/>
      <c r="S45" s="33" t="n"/>
      <c r="T45" s="32" t="n"/>
      <c r="U45" s="33" t="n"/>
      <c r="V45" s="32" t="n"/>
      <c r="W45" s="33" t="n"/>
      <c r="X45" s="32" t="n"/>
      <c r="Y45" s="33" t="n"/>
      <c r="Z45" s="32" t="n"/>
      <c r="AA45" s="33" t="n"/>
      <c r="AB45" s="32" t="n"/>
      <c r="AC45" s="33" t="n"/>
      <c r="AD45" s="32" t="n"/>
      <c r="AE45" s="33" t="n"/>
      <c r="AF45" s="32" t="n"/>
      <c r="AG45" s="33" t="n"/>
      <c r="AH45" s="32" t="n"/>
      <c r="AI45" s="33" t="n"/>
      <c r="AJ45" s="32" t="n"/>
      <c r="AK45" s="33" t="n"/>
    </row>
    <row r="47" ht="21" customHeight="1">
      <c r="B47" s="27" t="inlineStr">
        <is>
          <t>E  ·  FIT AND PARTNERSHIP</t>
        </is>
      </c>
    </row>
    <row r="48" ht="40" customHeight="1">
      <c r="B48" s="28" t="inlineStr">
        <is>
          <t>E1–E4</t>
        </is>
      </c>
      <c r="C48" s="29" t="inlineStr">
        <is>
          <t>Partnership</t>
        </is>
      </c>
      <c r="D48" s="30" t="inlineStr">
        <is>
          <t>Willing to build it with us, and open to a stake</t>
        </is>
      </c>
      <c r="E48" s="47">
        <f>'Start Here'!$C$16</f>
        <v/>
      </c>
      <c r="F48" s="32" t="inlineStr">
        <is>
          <t>3 — Builds to our needs; ownership unaddressed</t>
        </is>
      </c>
      <c r="G48" s="33" t="n"/>
      <c r="H48" s="32" t="inlineStr">
        <is>
          <t>2 — Takes our input; they own the roadmap</t>
        </is>
      </c>
      <c r="I48" s="33" t="n"/>
      <c r="J48" s="32" t="inlineStr">
        <is>
          <t>4 — Open to equity, and set up to build with us</t>
        </is>
      </c>
      <c r="K48" s="33" t="inlineStr">
        <is>
          <t>Proposed design-partner pricing plus an equity conversation, unprompted, in E2. Only vendor to raise ownership.</t>
        </is>
      </c>
      <c r="L48" s="32" t="n"/>
      <c r="M48" s="33" t="n"/>
      <c r="N48" s="32" t="n"/>
      <c r="O48" s="33" t="n"/>
      <c r="P48" s="32" t="n"/>
      <c r="Q48" s="33" t="n"/>
      <c r="R48" s="32" t="n"/>
      <c r="S48" s="33" t="n"/>
      <c r="T48" s="32" t="n"/>
      <c r="U48" s="33" t="n"/>
      <c r="V48" s="32" t="n"/>
      <c r="W48" s="33" t="n"/>
      <c r="X48" s="32" t="n"/>
      <c r="Y48" s="33" t="n"/>
      <c r="Z48" s="32" t="n"/>
      <c r="AA48" s="33" t="n"/>
      <c r="AB48" s="32" t="n"/>
      <c r="AC48" s="33" t="n"/>
      <c r="AD48" s="32" t="n"/>
      <c r="AE48" s="33" t="n"/>
      <c r="AF48" s="32" t="n"/>
      <c r="AG48" s="33" t="n"/>
      <c r="AH48" s="32" t="n"/>
      <c r="AI48" s="33" t="n"/>
      <c r="AJ48" s="32" t="n"/>
      <c r="AK48" s="33" t="n"/>
    </row>
    <row r="50" ht="21" customHeight="1">
      <c r="B50" s="18" t="inlineStr">
        <is>
          <t>INTANGIBLES   —   no points.  Strong, Neutral or Concern, and why.</t>
        </is>
      </c>
    </row>
    <row r="51" ht="26" customHeight="1">
      <c r="B51" s="3" t="inlineStr">
        <is>
          <t xml:space="preserve">    Fill these after the scored sections, and let them contradict the number if that is what you see. Write the reason and your initials — in the working session someone will ask what specifically gave you that read.</t>
        </is>
      </c>
    </row>
    <row r="52" ht="28" customHeight="1">
      <c r="B52" s="34" t="inlineStr">
        <is>
          <t>Feel</t>
        </is>
      </c>
      <c r="C52" s="35" t="inlineStr">
        <is>
          <t>Home health fluency</t>
        </is>
      </c>
      <c r="D52" s="36" t="inlineStr">
        <is>
          <t>Do these read like people who have stood in a branch? Unprompted vocabulary, problems they raise that we did not ask about.</t>
        </is>
      </c>
      <c r="E52" s="37" t="n"/>
      <c r="F52" s="38" t="inlineStr">
        <is>
          <t>Strong</t>
        </is>
      </c>
      <c r="G52" s="39" t="inlineStr">
        <is>
          <t>Uses LUPA and recert windows unprompted; raised infection-control sequencing we never asked about. — MW</t>
        </is>
      </c>
      <c r="H52" s="38" t="inlineStr">
        <is>
          <t>Neutral</t>
        </is>
      </c>
      <c r="I52" s="39" t="inlineStr">
        <is>
          <t>Competent scheduling language, no home health specifics. Reads like a logistics product that found a vertical. — MW</t>
        </is>
      </c>
      <c r="J52" s="38" t="inlineStr">
        <is>
          <t>Strong</t>
        </is>
      </c>
      <c r="K52" s="39" t="inlineStr">
        <is>
          <t>Raised payer-mix-aware sequencing, which is not on our one-pager and probably should be. — MW</t>
        </is>
      </c>
      <c r="L52" s="38" t="n"/>
      <c r="M52" s="39" t="n"/>
      <c r="N52" s="38" t="n"/>
      <c r="O52" s="39" t="n"/>
      <c r="P52" s="38" t="n"/>
      <c r="Q52" s="39" t="n"/>
      <c r="R52" s="38" t="n"/>
      <c r="S52" s="39" t="n"/>
      <c r="T52" s="38" t="n"/>
      <c r="U52" s="39" t="n"/>
      <c r="V52" s="38" t="n"/>
      <c r="W52" s="39" t="n"/>
      <c r="X52" s="38" t="n"/>
      <c r="Y52" s="39" t="n"/>
      <c r="Z52" s="38" t="n"/>
      <c r="AA52" s="39" t="n"/>
      <c r="AB52" s="38" t="n"/>
      <c r="AC52" s="39" t="n"/>
      <c r="AD52" s="38" t="n"/>
      <c r="AE52" s="39" t="n"/>
      <c r="AF52" s="38" t="n"/>
      <c r="AG52" s="39" t="n"/>
      <c r="AH52" s="38" t="n"/>
      <c r="AI52" s="39" t="n"/>
      <c r="AJ52" s="38" t="n"/>
      <c r="AK52" s="39" t="n"/>
    </row>
    <row r="53" ht="28" customHeight="1">
      <c r="B53" s="34" t="inlineStr">
        <is>
          <t>Feel</t>
        </is>
      </c>
      <c r="C53" s="35" t="inlineStr">
        <is>
          <t>Candor about gaps</t>
        </is>
      </c>
      <c r="D53" s="36" t="inlineStr">
        <is>
          <t>Did they say 'we don't do that' anywhere? A vendor who claims everything has told us something.</t>
        </is>
      </c>
      <c r="E53" s="37" t="n"/>
      <c r="F53" s="38" t="inlineStr">
        <is>
          <t>Strong</t>
        </is>
      </c>
      <c r="G53" s="39" t="inlineStr">
        <is>
          <t>Says plainly they do not do patient outreach. First vendor to admit anything. — MW</t>
        </is>
      </c>
      <c r="H53" s="38" t="inlineStr">
        <is>
          <t>Concern</t>
        </is>
      </c>
      <c r="I53" s="39" t="inlineStr">
        <is>
          <t>Marked all eleven areas in scope, then Section C covered four of them. — MW</t>
        </is>
      </c>
      <c r="J53" s="38" t="inlineStr">
        <is>
          <t>Strong</t>
        </is>
      </c>
      <c r="K53" s="39" t="inlineStr">
        <is>
          <t>Volunteered that their capacity model is weaker than their engagement side. Cost them points and they said it anyway. — MW</t>
        </is>
      </c>
      <c r="L53" s="38" t="n"/>
      <c r="M53" s="39" t="n"/>
      <c r="N53" s="38" t="n"/>
      <c r="O53" s="39" t="n"/>
      <c r="P53" s="38" t="n"/>
      <c r="Q53" s="39" t="n"/>
      <c r="R53" s="38" t="n"/>
      <c r="S53" s="39" t="n"/>
      <c r="T53" s="38" t="n"/>
      <c r="U53" s="39" t="n"/>
      <c r="V53" s="38" t="n"/>
      <c r="W53" s="39" t="n"/>
      <c r="X53" s="38" t="n"/>
      <c r="Y53" s="39" t="n"/>
      <c r="Z53" s="38" t="n"/>
      <c r="AA53" s="39" t="n"/>
      <c r="AB53" s="38" t="n"/>
      <c r="AC53" s="39" t="n"/>
      <c r="AD53" s="38" t="n"/>
      <c r="AE53" s="39" t="n"/>
      <c r="AF53" s="38" t="n"/>
      <c r="AG53" s="39" t="n"/>
      <c r="AH53" s="38" t="n"/>
      <c r="AI53" s="39" t="n"/>
      <c r="AJ53" s="38" t="n"/>
      <c r="AK53" s="39" t="n"/>
    </row>
    <row r="54" ht="28" customHeight="1">
      <c r="B54" s="34" t="inlineStr">
        <is>
          <t>Feel</t>
        </is>
      </c>
      <c r="C54" s="35" t="inlineStr">
        <is>
          <t>Who wrote this</t>
        </is>
      </c>
      <c r="D54" s="36" t="inlineStr">
        <is>
          <t>Marketing, sales engineer, or someone who built it. Specificity, and willingness to name a constraint.</t>
        </is>
      </c>
      <c r="E54" s="37" t="n"/>
      <c r="F54" s="38" t="inlineStr">
        <is>
          <t>Strong</t>
        </is>
      </c>
      <c r="G54" s="39" t="inlineStr">
        <is>
          <t>C5 reads like someone who has been paged at 2am. Named their escalation ladder without being asked. — MW</t>
        </is>
      </c>
      <c r="H54" s="38" t="inlineStr">
        <is>
          <t>Concern</t>
        </is>
      </c>
      <c r="I54" s="39" t="inlineStr">
        <is>
          <t>Section C is marketing prose. No mechanism anywhere. — MW</t>
        </is>
      </c>
      <c r="J54" s="38" t="inlineStr">
        <is>
          <t>Strong</t>
        </is>
      </c>
      <c r="K54" s="39" t="inlineStr">
        <is>
          <t>E4 names what they chose not to build and why. That is a product mind. — MW</t>
        </is>
      </c>
      <c r="L54" s="38" t="n"/>
      <c r="M54" s="39" t="n"/>
      <c r="N54" s="38" t="n"/>
      <c r="O54" s="39" t="n"/>
      <c r="P54" s="38" t="n"/>
      <c r="Q54" s="39" t="n"/>
      <c r="R54" s="38" t="n"/>
      <c r="S54" s="39" t="n"/>
      <c r="T54" s="38" t="n"/>
      <c r="U54" s="39" t="n"/>
      <c r="V54" s="38" t="n"/>
      <c r="W54" s="39" t="n"/>
      <c r="X54" s="38" t="n"/>
      <c r="Y54" s="39" t="n"/>
      <c r="Z54" s="38" t="n"/>
      <c r="AA54" s="39" t="n"/>
      <c r="AB54" s="38" t="n"/>
      <c r="AC54" s="39" t="n"/>
      <c r="AD54" s="38" t="n"/>
      <c r="AE54" s="39" t="n"/>
      <c r="AF54" s="38" t="n"/>
      <c r="AG54" s="39" t="n"/>
      <c r="AH54" s="38" t="n"/>
      <c r="AI54" s="39" t="n"/>
      <c r="AJ54" s="38" t="n"/>
      <c r="AK54" s="39" t="n"/>
    </row>
    <row r="55" ht="28" customHeight="1">
      <c r="B55" s="34" t="inlineStr">
        <is>
          <t>Feel</t>
        </is>
      </c>
      <c r="C55" s="35" t="inlineStr">
        <is>
          <t>Durability</t>
        </is>
      </c>
      <c r="D55" s="36" t="inlineStr">
        <is>
          <t>Will they exist in three years, and will this still be their main business? Are we uncomfortably their largest customer?</t>
        </is>
      </c>
      <c r="E55" s="37" t="n"/>
      <c r="F55" s="38" t="inlineStr">
        <is>
          <t>Neutral</t>
        </is>
      </c>
      <c r="G55" s="39" t="inlineStr">
        <is>
          <t>Series B, 60 people. We would be their largest by roughly 3x. — MW</t>
        </is>
      </c>
      <c r="H55" s="38" t="inlineStr">
        <is>
          <t>Concern</t>
        </is>
      </c>
      <c r="I55" s="39" t="inlineStr">
        <is>
          <t>Seed stage, 12 people, we would be 5x their largest. — MW</t>
        </is>
      </c>
      <c r="J55" s="38" t="inlineStr">
        <is>
          <t>Concern</t>
        </is>
      </c>
      <c r="K55" s="39" t="inlineStr">
        <is>
          <t>Newest company in the field. The integration is a promise on their timeline, not ours. — MW</t>
        </is>
      </c>
      <c r="L55" s="38" t="n"/>
      <c r="M55" s="39" t="n"/>
      <c r="N55" s="38" t="n"/>
      <c r="O55" s="39" t="n"/>
      <c r="P55" s="38" t="n"/>
      <c r="Q55" s="39" t="n"/>
      <c r="R55" s="38" t="n"/>
      <c r="S55" s="39" t="n"/>
      <c r="T55" s="38" t="n"/>
      <c r="U55" s="39" t="n"/>
      <c r="V55" s="38" t="n"/>
      <c r="W55" s="39" t="n"/>
      <c r="X55" s="38" t="n"/>
      <c r="Y55" s="39" t="n"/>
      <c r="Z55" s="38" t="n"/>
      <c r="AA55" s="39" t="n"/>
      <c r="AB55" s="38" t="n"/>
      <c r="AC55" s="39" t="n"/>
      <c r="AD55" s="38" t="n"/>
      <c r="AE55" s="39" t="n"/>
      <c r="AF55" s="38" t="n"/>
      <c r="AG55" s="39" t="n"/>
      <c r="AH55" s="38" t="n"/>
      <c r="AI55" s="39" t="n"/>
      <c r="AJ55" s="38" t="n"/>
      <c r="AK55" s="39" t="n"/>
    </row>
    <row r="56" ht="28" customHeight="1">
      <c r="B56" s="34" t="inlineStr">
        <is>
          <t>Feel</t>
        </is>
      </c>
      <c r="C56" s="35" t="inlineStr">
        <is>
          <t>The room test</t>
        </is>
      </c>
      <c r="D56" s="36" t="inlineStr">
        <is>
          <t>Would we want these people in our building for two years? Leave blank until after the demo — on purpose.</t>
        </is>
      </c>
      <c r="E56" s="37" t="n"/>
      <c r="F56" s="38" t="inlineStr"/>
      <c r="G56" s="39" t="inlineStr"/>
      <c r="H56" s="38" t="inlineStr"/>
      <c r="I56" s="39" t="inlineStr"/>
      <c r="J56" s="38" t="inlineStr"/>
      <c r="K56" s="39" t="inlineStr"/>
      <c r="L56" s="38" t="n"/>
      <c r="M56" s="39" t="n"/>
      <c r="N56" s="38" t="n"/>
      <c r="O56" s="39" t="n"/>
      <c r="P56" s="38" t="n"/>
      <c r="Q56" s="39" t="n"/>
      <c r="R56" s="38" t="n"/>
      <c r="S56" s="39" t="n"/>
      <c r="T56" s="38" t="n"/>
      <c r="U56" s="39" t="n"/>
      <c r="V56" s="38" t="n"/>
      <c r="W56" s="39" t="n"/>
      <c r="X56" s="38" t="n"/>
      <c r="Y56" s="39" t="n"/>
      <c r="Z56" s="38" t="n"/>
      <c r="AA56" s="39" t="n"/>
      <c r="AB56" s="38" t="n"/>
      <c r="AC56" s="39" t="n"/>
      <c r="AD56" s="38" t="n"/>
      <c r="AE56" s="39" t="n"/>
      <c r="AF56" s="38" t="n"/>
      <c r="AG56" s="39" t="n"/>
      <c r="AH56" s="38" t="n"/>
      <c r="AI56" s="39" t="n"/>
      <c r="AJ56" s="38" t="n"/>
      <c r="AK56" s="39" t="n"/>
    </row>
    <row r="58" ht="21" customHeight="1">
      <c r="B58" s="48" t="inlineStr">
        <is>
          <t>NOTES   —   one line each.  This is what we go and ask.</t>
        </is>
      </c>
    </row>
    <row r="59" ht="54" customHeight="1">
      <c r="C59" s="49" t="inlineStr">
        <is>
          <t>What stands out</t>
        </is>
      </c>
      <c r="D59" s="50" t="inlineStr">
        <is>
          <t>against the field, or against our own thinking</t>
        </is>
      </c>
      <c r="E59" s="51" t="inlineStr">
        <is>
          <t>—</t>
        </is>
      </c>
      <c r="F59" s="39" t="inlineStr">
        <is>
          <t>Only answer that shows a branch leader the envelope impact of a referral before accepting it.</t>
        </is>
      </c>
      <c r="H59" s="39" t="inlineStr">
        <is>
          <t>Strong routing engine — genuinely the best in the field so far.</t>
        </is>
      </c>
      <c r="J59" s="39" t="inlineStr">
        <is>
          <t>Only vendor to raise ownership unprompted, and the only real agentic outreach we have seen.</t>
        </is>
      </c>
      <c r="L59" s="39" t="n"/>
      <c r="N59" s="39" t="n"/>
      <c r="P59" s="39" t="n"/>
      <c r="R59" s="39" t="n"/>
      <c r="T59" s="39" t="n"/>
      <c r="V59" s="39" t="n"/>
      <c r="X59" s="39" t="n"/>
      <c r="Z59" s="39" t="n"/>
      <c r="AB59" s="39" t="n"/>
      <c r="AD59" s="39" t="n"/>
      <c r="AF59" s="39" t="n"/>
      <c r="AH59" s="39" t="n"/>
      <c r="AJ59" s="39" t="n"/>
    </row>
    <row r="60" ht="54" customHeight="1">
      <c r="C60" s="49" t="inlineStr">
        <is>
          <t>What worries me</t>
        </is>
      </c>
      <c r="D60" s="50" t="inlineStr">
        <is>
          <t>including anything flagged above</t>
        </is>
      </c>
      <c r="E60" s="51" t="inlineStr">
        <is>
          <t>—</t>
        </is>
      </c>
      <c r="F60" s="39" t="inlineStr">
        <is>
          <t>Impact figures come from one site. Engagement is genuinely thin, not modest.</t>
        </is>
      </c>
      <c r="H60" s="39" t="inlineStr">
        <is>
          <t>One customer, references not committed, and Section B claims outran Section C badly.</t>
        </is>
      </c>
      <c r="J60" s="39" t="inlineStr">
        <is>
          <t>Integration is a promise on their timeline. Youngest company in the field.</t>
        </is>
      </c>
      <c r="L60" s="39" t="n"/>
      <c r="N60" s="39" t="n"/>
      <c r="P60" s="39" t="n"/>
      <c r="R60" s="39" t="n"/>
      <c r="T60" s="39" t="n"/>
      <c r="V60" s="39" t="n"/>
      <c r="X60" s="39" t="n"/>
      <c r="Z60" s="39" t="n"/>
      <c r="AB60" s="39" t="n"/>
      <c r="AD60" s="39" t="n"/>
      <c r="AF60" s="39" t="n"/>
      <c r="AH60" s="39" t="n"/>
      <c r="AJ60" s="39" t="n"/>
    </row>
    <row r="61" ht="54" customHeight="1">
      <c r="C61" s="49" t="inlineStr">
        <is>
          <t>What to go and ask</t>
        </is>
      </c>
      <c r="D61" s="50" t="inlineStr">
        <is>
          <t>the demo agenda</t>
        </is>
      </c>
      <c r="E61" s="51" t="inlineStr">
        <is>
          <t>—</t>
        </is>
      </c>
      <c r="F61" s="39" t="inlineStr">
        <is>
          <t>Would they discuss a stake? Never mentioned it, and E2 was the shortest answer they gave.</t>
        </is>
      </c>
      <c r="H61" s="39" t="inlineStr">
        <is>
          <t>Make them walk the HCHB integration live. A nightly file drop is not what they said.</t>
        </is>
      </c>
      <c r="J61" s="39" t="inlineStr">
        <is>
          <t>What exactly is committed on the Q2 2027 date, and by whom? Get it in writing.</t>
        </is>
      </c>
      <c r="L61" s="39" t="n"/>
      <c r="N61" s="39" t="n"/>
      <c r="P61" s="39" t="n"/>
      <c r="R61" s="39" t="n"/>
      <c r="T61" s="39" t="n"/>
      <c r="V61" s="39" t="n"/>
      <c r="X61" s="39" t="n"/>
      <c r="Z61" s="39" t="n"/>
      <c r="AB61" s="39" t="n"/>
      <c r="AD61" s="39" t="n"/>
      <c r="AF61" s="39" t="n"/>
      <c r="AH61" s="39" t="n"/>
      <c r="AJ61" s="39" t="n"/>
    </row>
  </sheetData>
  <sheetProtection selectLockedCells="0" selectUnlockedCells="0" sheet="1" objects="0" insertRows="1" insertHyperlinks="1" autoFilter="1" scenarios="0" formatColumns="0" deleteColumns="1" insertColumns="1" pivotTables="1" deleteRows="1" formatCells="1" formatRows="0" sort="1"/>
  <mergeCells count="80">
    <mergeCell ref="B21:AK21"/>
    <mergeCell ref="AB5:AC5"/>
    <mergeCell ref="AD5:AE5"/>
    <mergeCell ref="J59:K59"/>
    <mergeCell ref="E32:E34"/>
    <mergeCell ref="J60:K60"/>
    <mergeCell ref="AB60:AC60"/>
    <mergeCell ref="AD60:AE60"/>
    <mergeCell ref="P59:Q59"/>
    <mergeCell ref="AB59:AC59"/>
    <mergeCell ref="L5:M5"/>
    <mergeCell ref="N5:O5"/>
    <mergeCell ref="N61:O61"/>
    <mergeCell ref="P61:Q61"/>
    <mergeCell ref="AB61:AC61"/>
    <mergeCell ref="AF59:AG59"/>
    <mergeCell ref="AH59:AI59"/>
    <mergeCell ref="T61:U61"/>
    <mergeCell ref="B51:AK51"/>
    <mergeCell ref="AH61:AI61"/>
    <mergeCell ref="B50:AK50"/>
    <mergeCell ref="E36:E38"/>
    <mergeCell ref="R60:S60"/>
    <mergeCell ref="B12:AK12"/>
    <mergeCell ref="R59:S59"/>
    <mergeCell ref="P60:Q60"/>
    <mergeCell ref="AD59:AE59"/>
    <mergeCell ref="F5:G5"/>
    <mergeCell ref="B40:AK40"/>
    <mergeCell ref="X5:Y5"/>
    <mergeCell ref="Z5:AA5"/>
    <mergeCell ref="AJ5:AK5"/>
    <mergeCell ref="AD61:AE61"/>
    <mergeCell ref="X60:Y60"/>
    <mergeCell ref="F61:G61"/>
    <mergeCell ref="Z60:AA60"/>
    <mergeCell ref="L59:M59"/>
    <mergeCell ref="B26:AK26"/>
    <mergeCell ref="B35:AK35"/>
    <mergeCell ref="X59:Y59"/>
    <mergeCell ref="Z59:AA59"/>
    <mergeCell ref="H5:I5"/>
    <mergeCell ref="J61:K61"/>
    <mergeCell ref="L61:M61"/>
    <mergeCell ref="B3:AK3"/>
    <mergeCell ref="V61:W61"/>
    <mergeCell ref="B27:AK27"/>
    <mergeCell ref="B58:AK58"/>
    <mergeCell ref="B44:AK44"/>
    <mergeCell ref="H60:I60"/>
    <mergeCell ref="AF5:AG5"/>
    <mergeCell ref="N59:O59"/>
    <mergeCell ref="T60:U60"/>
    <mergeCell ref="L60:M60"/>
    <mergeCell ref="N60:O60"/>
    <mergeCell ref="AF60:AG60"/>
    <mergeCell ref="P5:Q5"/>
    <mergeCell ref="AJ60:AK60"/>
    <mergeCell ref="R5:S5"/>
    <mergeCell ref="R61:S61"/>
    <mergeCell ref="AF61:AG61"/>
    <mergeCell ref="J5:K5"/>
    <mergeCell ref="AJ59:AK59"/>
    <mergeCell ref="T5:U5"/>
    <mergeCell ref="V5:W5"/>
    <mergeCell ref="X61:Y61"/>
    <mergeCell ref="Z61:AA61"/>
    <mergeCell ref="AH5:AI5"/>
    <mergeCell ref="AJ61:AK61"/>
    <mergeCell ref="F59:G59"/>
    <mergeCell ref="H59:I59"/>
    <mergeCell ref="T59:U59"/>
    <mergeCell ref="V59:W59"/>
    <mergeCell ref="H61:I61"/>
    <mergeCell ref="V60:W60"/>
    <mergeCell ref="AH60:AI60"/>
    <mergeCell ref="E28:E30"/>
    <mergeCell ref="F60:G60"/>
    <mergeCell ref="B47:AK47"/>
    <mergeCell ref="B31:AK31"/>
  </mergeCells>
  <conditionalFormatting sqref="F8:AJ8">
    <cfRule type="colorScale" priority="1">
      <colorScale>
        <cfvo type="num" val="40"/>
        <cfvo type="num" val="65"/>
        <cfvo type="num" val="90"/>
        <color rgb="00F5E3E3"/>
        <color rgb="00FBF3DD"/>
        <color rgb="00DDEBE0"/>
      </colorScale>
    </cfRule>
  </conditionalFormatting>
  <conditionalFormatting sqref="F13:AJ13">
    <cfRule type="colorScale" priority="2">
      <colorScale>
        <cfvo type="num" val="0"/>
        <cfvo type="num" val="1"/>
        <color rgb="00FFFFFF"/>
        <color rgb="003F7A50"/>
      </colorScale>
    </cfRule>
  </conditionalFormatting>
  <conditionalFormatting sqref="F14:AJ14">
    <cfRule type="colorScale" priority="3">
      <colorScale>
        <cfvo type="num" val="0"/>
        <cfvo type="num" val="1"/>
        <color rgb="00FFFFFF"/>
        <color rgb="003F7A50"/>
      </colorScale>
    </cfRule>
  </conditionalFormatting>
  <conditionalFormatting sqref="F15:AJ15">
    <cfRule type="colorScale" priority="4">
      <colorScale>
        <cfvo type="num" val="0"/>
        <cfvo type="num" val="1"/>
        <color rgb="00FFFFFF"/>
        <color rgb="003F7A50"/>
      </colorScale>
    </cfRule>
  </conditionalFormatting>
  <conditionalFormatting sqref="F16:AJ16">
    <cfRule type="colorScale" priority="5">
      <colorScale>
        <cfvo type="num" val="0"/>
        <cfvo type="num" val="1"/>
        <color rgb="00FFFFFF"/>
        <color rgb="003F7A50"/>
      </colorScale>
    </cfRule>
  </conditionalFormatting>
  <conditionalFormatting sqref="F17:AJ17">
    <cfRule type="colorScale" priority="6">
      <colorScale>
        <cfvo type="num" val="0"/>
        <cfvo type="num" val="1"/>
        <color rgb="00FFFFFF"/>
        <color rgb="003F7A50"/>
      </colorScale>
    </cfRule>
  </conditionalFormatting>
  <conditionalFormatting sqref="F18:AJ18">
    <cfRule type="colorScale" priority="7">
      <colorScale>
        <cfvo type="num" val="0"/>
        <cfvo type="num" val="1"/>
        <color rgb="00FFFFFF"/>
        <color rgb="003F7A50"/>
      </colorScale>
    </cfRule>
  </conditionalFormatting>
  <conditionalFormatting sqref="F19:AJ19">
    <cfRule type="colorScale" priority="8">
      <colorScale>
        <cfvo type="num" val="0"/>
        <cfvo type="num" val="1"/>
        <color rgb="00FFFFFF"/>
        <color rgb="003F7A50"/>
      </colorScale>
    </cfRule>
  </conditionalFormatting>
  <conditionalFormatting sqref="F23:AJ23">
    <cfRule type="expression" priority="9" dxfId="0">
      <formula>F23="STOP-CHECK"</formula>
    </cfRule>
    <cfRule type="expression" priority="10" dxfId="1">
      <formula>F23="Watch"</formula>
    </cfRule>
  </conditionalFormatting>
  <conditionalFormatting sqref="F24:AJ24">
    <cfRule type="expression" priority="11" dxfId="0">
      <formula>F24="STOP-CHECK"</formula>
    </cfRule>
    <cfRule type="expression" priority="12" dxfId="1">
      <formula>F24="Watch"</formula>
    </cfRule>
  </conditionalFormatting>
  <conditionalFormatting sqref="F42:AJ42">
    <cfRule type="expression" priority="13" dxfId="0">
      <formula>F42="STOP-CHECK"</formula>
    </cfRule>
    <cfRule type="expression" priority="14" dxfId="1">
      <formula>F42="Watch"</formula>
    </cfRule>
  </conditionalFormatting>
  <conditionalFormatting sqref="F52:AJ52">
    <cfRule type="expression" priority="15" dxfId="0">
      <formula>F52="Concern"</formula>
    </cfRule>
    <cfRule type="expression" priority="16" dxfId="2">
      <formula>F52="Strong"</formula>
    </cfRule>
  </conditionalFormatting>
  <conditionalFormatting sqref="F53:AJ53">
    <cfRule type="expression" priority="17" dxfId="0">
      <formula>F53="Concern"</formula>
    </cfRule>
    <cfRule type="expression" priority="18" dxfId="2">
      <formula>F53="Strong"</formula>
    </cfRule>
  </conditionalFormatting>
  <conditionalFormatting sqref="F54:AJ54">
    <cfRule type="expression" priority="19" dxfId="0">
      <formula>F54="Concern"</formula>
    </cfRule>
    <cfRule type="expression" priority="20" dxfId="2">
      <formula>F54="Strong"</formula>
    </cfRule>
  </conditionalFormatting>
  <conditionalFormatting sqref="F55:AJ55">
    <cfRule type="expression" priority="21" dxfId="0">
      <formula>F55="Concern"</formula>
    </cfRule>
    <cfRule type="expression" priority="22" dxfId="2">
      <formula>F55="Strong"</formula>
    </cfRule>
  </conditionalFormatting>
  <conditionalFormatting sqref="F56:AJ56">
    <cfRule type="expression" priority="23" dxfId="0">
      <formula>F56="Concern"</formula>
    </cfRule>
    <cfRule type="expression" priority="24" dxfId="2">
      <formula>F56="Strong"</formula>
    </cfRule>
  </conditionalFormatting>
  <conditionalFormatting sqref="F9:AJ9">
    <cfRule type="expression" priority="25" dxfId="1">
      <formula>ISNUMBER(SEARCH("Conditional",F9))</formula>
    </cfRule>
  </conditionalFormatting>
  <dataValidations count="7">
    <dataValidation sqref="F22 H22 J22 L22 N22 P22 R22 T22 V22 X22 Z22 AB22 AD22 AF22 AH22 AJ22" showDropDown="0" showInputMessage="1" showErrorMessage="1" allowBlank="1" errorTitle="Pick from the list" error="Use the dropdown. A typed value would silently score zero." promptTitle="A1 — Home Care Home Base" prompt="Pick one line. Ambiguous? Take the lower one and say why in the notes." type="list" errorStyle="stop">
      <formula1>=HCHB_List</formula1>
    </dataValidation>
    <dataValidation sqref="F28 F29 F30 F32 F33 F34 F36 F37 F38 H28 H29 H30 H32 H33 H34 H36 H37 H38 J28 J29 J30 J32 J33 J34 J36 J37 J38 L28 L29 L30 L32 L33 L34 L36 L37 L38 N28 N29 N30 N32 N33 N34 N36 N37 N38 P28 P29 P30 P32 P33 P34 P36 P37 P38 R28 R29 R30 R32 R33 R34 R36 R37 R38 T28 T29 T30 T32 T33 T34 T36 T37 T38 V28 V29 V30 V32 V33 V34 V36 V37 V38 X28 X29 X30 X32 X33 X34 X36 X37 X38 Z28 Z29 Z30 Z32 Z33 Z34 Z36 Z37 Z38 AB28 AB29 AB30 AB32 AB33 AB34 AB36 AB37 AB38 AD28 AD29 AD30 AD32 AD33 AD34 AD36 AD37 AD38 AF28 AF29 AF30 AF32 AF33 AF34 AF36 AF37 AF38 AH28 AH29 AH30 AH32 AH33 AH34 AH36 AH37 AH38 AJ28 AJ29 AJ30 AJ32 AJ33 AJ34 AJ36 AJ37 AJ38"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41 H41 J41 L41 N41 P41 R41 T41 V41 X41 Z41 AB41 AD41 AF41 AH41 AJ41" showDropDown="0" showInputMessage="1" showErrorMessage="1" allowBlank="1" errorTitle="Pick from the list" error="Use the dropdown. A typed value would silently score zero." promptTitle="Sophistication, 0–4" prompt="1 shows it · 2 checks it · 3 recommends it · 4 runs it. Score the product, not the write-up." type="list" errorStyle="stop">
      <formula1>=Soph_List</formula1>
    </dataValidation>
    <dataValidation sqref="F45 H45 J45 L45 N45 P45 R45 T45 V45 X45 Z45 AB45 AD45 AF45 AH45 AJ45" showDropDown="0" showInputMessage="1" showErrorMessage="1" allowBlank="1" errorTitle="Pick from the list" error="Use the dropdown. A typed value would silently score zero." promptTitle="Clinician fit, 0–4" prompt="Read D1 to D3 and give it your own read. No checklist, on purpose." type="list" errorStyle="stop">
      <formula1>=Clin_List</formula1>
    </dataValidation>
    <dataValidation sqref="F48 H48 J48 L48 N48 P48 R48 T48 V48 X48 Z48 AB48 AD48 AF48 AH48 AJ48" showDropDown="0" showInputMessage="1" showErrorMessage="1" allowBlank="1" errorTitle="Pick from the list" error="Use the dropdown. A typed value would silently score zero." promptTitle="Partnership, 0–4" prompt="Able and willing to build it with us, and open to us holding a stake." type="list" errorStyle="stop">
      <formula1>=Part_List</formula1>
    </dataValidation>
    <dataValidation sqref="F23 F24 F42 H23 H24 H42 J23 J24 J42 L23 L24 L42 N23 N24 N42 P23 P24 P42 R23 R24 R42 T23 T24 T42 V23 V24 V42 X23 X24 X42 Z23 Z24 Z42 AB23 AB24 AB42 AD23 AD24 AD42 AF23 AF24 AF42 AH23 AH24 AH42 AJ23 AJ24 AJ42"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F52 F53 F54 F55 F56 H52 H53 H54 H55 H56 J52 J53 J54 J55 J56 L52 L53 L54 L55 L56 N52 N53 N54 N55 N56 P52 P53 P54 P55 P56 R52 R53 R54 R55 R56 T52 T53 T54 T55 T56 V52 V53 V54 V55 V56 X52 X53 X54 X55 X56 Z52 Z53 Z54 Z55 Z56 AB52 AB53 AB54 AB55 AB56 AD52 AD53 AD54 AD55 AD56 AF52 AF53 AF54 AF55 AF56 AH52 AH53 AH54 AH55 AH56 AJ52 AJ53 AJ54 AJ55 AJ56"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tabColor rgb="001B211E"/>
    <outlinePr summaryBelow="1" summaryRight="1"/>
    <pageSetUpPr fitToPage="1"/>
  </sheetPr>
  <dimension ref="B2:AK61"/>
  <sheetViews>
    <sheetView showGridLines="0" tabSelected="1" zoomScale="100" workbookViewId="0">
      <pane xSplit="5" ySplit="10" topLeftCell="F11"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8" customWidth="1" min="3" max="3"/>
    <col width="36" customWidth="1" min="4" max="4"/>
    <col width="6" customWidth="1" min="5" max="5"/>
    <col width="17" customWidth="1" min="6" max="6"/>
    <col hidden="1" outlineLevel="1" width="46" customWidth="1" min="7" max="7"/>
    <col width="17" customWidth="1" min="8" max="8"/>
    <col hidden="1" outlineLevel="1" width="46" customWidth="1" min="9" max="9"/>
    <col width="17" customWidth="1" min="10" max="10"/>
    <col hidden="1" outlineLevel="1" width="46" customWidth="1" min="11" max="11"/>
    <col width="17" customWidth="1" min="12" max="12"/>
    <col hidden="1" outlineLevel="1" width="46" customWidth="1" min="13" max="13"/>
    <col width="17" customWidth="1" min="14" max="14"/>
    <col hidden="1" outlineLevel="1" width="46" customWidth="1" min="15" max="15"/>
    <col width="17" customWidth="1" min="16" max="16"/>
    <col hidden="1" outlineLevel="1" width="46" customWidth="1" min="17" max="17"/>
    <col width="17" customWidth="1" min="18" max="18"/>
    <col hidden="1" outlineLevel="1" width="46" customWidth="1" min="19" max="19"/>
    <col width="17" customWidth="1" min="20" max="20"/>
    <col hidden="1" outlineLevel="1" width="46" customWidth="1" min="21" max="21"/>
    <col width="17" customWidth="1" min="22" max="22"/>
    <col hidden="1" outlineLevel="1" width="46" customWidth="1" min="23" max="23"/>
    <col width="17" customWidth="1" min="24" max="24"/>
    <col hidden="1" outlineLevel="1" width="46" customWidth="1" min="25" max="25"/>
    <col width="17" customWidth="1" min="26" max="26"/>
    <col hidden="1" outlineLevel="1" width="46" customWidth="1" min="27" max="27"/>
    <col width="17" customWidth="1" min="28" max="28"/>
    <col hidden="1" outlineLevel="1" width="46" customWidth="1" min="29" max="29"/>
    <col width="17" customWidth="1" min="30" max="30"/>
    <col hidden="1" outlineLevel="1" width="46" customWidth="1" min="31" max="31"/>
    <col width="17" customWidth="1" min="32" max="32"/>
    <col hidden="1" outlineLevel="1" width="46" customWidth="1" min="33" max="33"/>
    <col width="17" customWidth="1" min="34" max="34"/>
    <col hidden="1" outlineLevel="1" width="46" customWidth="1" min="35" max="35"/>
    <col width="17" customWidth="1" min="36" max="36"/>
    <col hidden="1" outlineLevel="1" width="46" customWidth="1" min="37" max="37"/>
  </cols>
  <sheetData>
    <row r="2" ht="22" customHeight="1">
      <c r="B2" s="1" t="inlineStr">
        <is>
          <t>Vendor Scorecard</t>
        </is>
      </c>
      <c r="C2" s="2" t="inlineStr">
        <is>
          <t>COMPASSUS  ·  CAPACITY &amp; SCHEDULING</t>
        </is>
      </c>
    </row>
    <row r="3">
      <c r="B3" s="3" t="inlineStr">
        <is>
          <t>Rows are the questionnaire, in order. Each vendor has a mark column and a notes column. Grey cells are formulas.</t>
        </is>
      </c>
    </row>
    <row r="5" ht="34" customHeight="1">
      <c r="B5" s="4" t="inlineStr">
        <is>
          <t>Q</t>
        </is>
      </c>
      <c r="C5" s="5" t="inlineStr">
        <is>
          <t>CRITERION</t>
        </is>
      </c>
      <c r="D5" s="5" t="inlineStr">
        <is>
          <t>WHAT IT COVERS</t>
        </is>
      </c>
      <c r="E5" s="4" t="inlineStr">
        <is>
          <t>WT</t>
        </is>
      </c>
      <c r="F5" s="6" t="inlineStr">
        <is>
          <t>Vendor 01</t>
        </is>
      </c>
      <c r="H5" s="6" t="inlineStr">
        <is>
          <t>Vendor 02</t>
        </is>
      </c>
      <c r="J5" s="6" t="inlineStr">
        <is>
          <t>Vendor 03</t>
        </is>
      </c>
      <c r="L5" s="6" t="inlineStr">
        <is>
          <t>Vendor 04</t>
        </is>
      </c>
      <c r="N5" s="6" t="inlineStr">
        <is>
          <t>Vendor 05</t>
        </is>
      </c>
      <c r="P5" s="6" t="inlineStr">
        <is>
          <t>Vendor 06</t>
        </is>
      </c>
      <c r="R5" s="6" t="inlineStr">
        <is>
          <t>Vendor 07</t>
        </is>
      </c>
      <c r="T5" s="6" t="inlineStr">
        <is>
          <t>Vendor 08</t>
        </is>
      </c>
      <c r="V5" s="6" t="inlineStr">
        <is>
          <t>Vendor 09</t>
        </is>
      </c>
      <c r="X5" s="6" t="inlineStr">
        <is>
          <t>Vendor 10</t>
        </is>
      </c>
      <c r="Z5" s="6" t="inlineStr">
        <is>
          <t>Vendor 11</t>
        </is>
      </c>
      <c r="AB5" s="6" t="inlineStr">
        <is>
          <t>Vendor 12</t>
        </is>
      </c>
      <c r="AD5" s="6" t="inlineStr">
        <is>
          <t>Vendor 13</t>
        </is>
      </c>
      <c r="AF5" s="6" t="inlineStr">
        <is>
          <t>Vendor 14</t>
        </is>
      </c>
      <c r="AH5" s="6" t="inlineStr">
        <is>
          <t>Vendor 15</t>
        </is>
      </c>
      <c r="AJ5" s="6" t="inlineStr">
        <is>
          <t>Vendor 16</t>
        </is>
      </c>
    </row>
    <row r="6" ht="15" customHeight="1">
      <c r="F6" s="8" t="inlineStr">
        <is>
          <t>MARK</t>
        </is>
      </c>
      <c r="G6" s="9" t="inlineStr">
        <is>
          <t>NOTES  ·  JUSTIFICATION  ·  CLAIM vs EVIDENCE</t>
        </is>
      </c>
      <c r="H6" s="8" t="inlineStr">
        <is>
          <t>MARK</t>
        </is>
      </c>
      <c r="I6" s="9" t="inlineStr">
        <is>
          <t>NOTES  ·  JUSTIFICATION  ·  CLAIM vs EVIDENCE</t>
        </is>
      </c>
      <c r="J6" s="8" t="inlineStr">
        <is>
          <t>MARK</t>
        </is>
      </c>
      <c r="K6" s="9" t="inlineStr">
        <is>
          <t>NOTES  ·  JUSTIFICATION  ·  CLAIM vs EVIDENCE</t>
        </is>
      </c>
      <c r="L6" s="8" t="inlineStr">
        <is>
          <t>MARK</t>
        </is>
      </c>
      <c r="M6" s="9" t="inlineStr">
        <is>
          <t>NOTES  ·  JUSTIFICATION  ·  CLAIM vs EVIDENCE</t>
        </is>
      </c>
      <c r="N6" s="8" t="inlineStr">
        <is>
          <t>MARK</t>
        </is>
      </c>
      <c r="O6" s="9" t="inlineStr">
        <is>
          <t>NOTES  ·  JUSTIFICATION  ·  CLAIM vs EVIDENCE</t>
        </is>
      </c>
      <c r="P6" s="8" t="inlineStr">
        <is>
          <t>MARK</t>
        </is>
      </c>
      <c r="Q6" s="9" t="inlineStr">
        <is>
          <t>NOTES  ·  JUSTIFICATION  ·  CLAIM vs EVIDENCE</t>
        </is>
      </c>
      <c r="R6" s="8" t="inlineStr">
        <is>
          <t>MARK</t>
        </is>
      </c>
      <c r="S6" s="9" t="inlineStr">
        <is>
          <t>NOTES  ·  JUSTIFICATION  ·  CLAIM vs EVIDENCE</t>
        </is>
      </c>
      <c r="T6" s="8" t="inlineStr">
        <is>
          <t>MARK</t>
        </is>
      </c>
      <c r="U6" s="9" t="inlineStr">
        <is>
          <t>NOTES  ·  JUSTIFICATION  ·  CLAIM vs EVIDENCE</t>
        </is>
      </c>
      <c r="V6" s="8" t="inlineStr">
        <is>
          <t>MARK</t>
        </is>
      </c>
      <c r="W6" s="9" t="inlineStr">
        <is>
          <t>NOTES  ·  JUSTIFICATION  ·  CLAIM vs EVIDENCE</t>
        </is>
      </c>
      <c r="X6" s="8" t="inlineStr">
        <is>
          <t>MARK</t>
        </is>
      </c>
      <c r="Y6" s="9" t="inlineStr">
        <is>
          <t>NOTES  ·  JUSTIFICATION  ·  CLAIM vs EVIDENCE</t>
        </is>
      </c>
      <c r="Z6" s="8" t="inlineStr">
        <is>
          <t>MARK</t>
        </is>
      </c>
      <c r="AA6" s="9" t="inlineStr">
        <is>
          <t>NOTES  ·  JUSTIFICATION  ·  CLAIM vs EVIDENCE</t>
        </is>
      </c>
      <c r="AB6" s="8" t="inlineStr">
        <is>
          <t>MARK</t>
        </is>
      </c>
      <c r="AC6" s="9" t="inlineStr">
        <is>
          <t>NOTES  ·  JUSTIFICATION  ·  CLAIM vs EVIDENCE</t>
        </is>
      </c>
      <c r="AD6" s="8" t="inlineStr">
        <is>
          <t>MARK</t>
        </is>
      </c>
      <c r="AE6" s="9" t="inlineStr">
        <is>
          <t>NOTES  ·  JUSTIFICATION  ·  CLAIM vs EVIDENCE</t>
        </is>
      </c>
      <c r="AF6" s="8" t="inlineStr">
        <is>
          <t>MARK</t>
        </is>
      </c>
      <c r="AG6" s="9" t="inlineStr">
        <is>
          <t>NOTES  ·  JUSTIFICATION  ·  CLAIM vs EVIDENCE</t>
        </is>
      </c>
      <c r="AH6" s="8" t="inlineStr">
        <is>
          <t>MARK</t>
        </is>
      </c>
      <c r="AI6" s="9" t="inlineStr">
        <is>
          <t>NOTES  ·  JUSTIFICATION  ·  CLAIM vs EVIDENCE</t>
        </is>
      </c>
      <c r="AJ6" s="8" t="inlineStr">
        <is>
          <t>MARK</t>
        </is>
      </c>
      <c r="AK6" s="9" t="inlineStr">
        <is>
          <t>NOTES  ·  JUSTIFICATION  ·  CLAIM vs EVIDENCE</t>
        </is>
      </c>
    </row>
    <row r="8" ht="24" customHeight="1">
      <c r="B8" s="10" t="inlineStr">
        <is>
          <t>TOTAL</t>
        </is>
      </c>
      <c r="C8" s="11" t="inlineStr">
        <is>
          <t>weighted, of 100</t>
        </is>
      </c>
      <c r="F8" s="12">
        <f>IF(F22="","",F13*'Start Here'!$C$10+F14*'Start Here'!$C$11+F15*'Start Here'!$C$12+F16*'Start Here'!$C$13+F17*'Start Here'!$C$14+F18*'Start Here'!$C$15+F19*'Start Here'!$C$16)</f>
        <v/>
      </c>
      <c r="G8" s="13" t="n"/>
      <c r="H8" s="12">
        <f>IF(H22="","",H13*'Start Here'!$C$10+H14*'Start Here'!$C$11+H15*'Start Here'!$C$12+H16*'Start Here'!$C$13+H17*'Start Here'!$C$14+H18*'Start Here'!$C$15+H19*'Start Here'!$C$16)</f>
        <v/>
      </c>
      <c r="I8" s="13" t="n"/>
      <c r="J8" s="12">
        <f>IF(J22="","",J13*'Start Here'!$C$10+J14*'Start Here'!$C$11+J15*'Start Here'!$C$12+J16*'Start Here'!$C$13+J17*'Start Here'!$C$14+J18*'Start Here'!$C$15+J19*'Start Here'!$C$16)</f>
        <v/>
      </c>
      <c r="K8" s="13" t="n"/>
      <c r="L8" s="12">
        <f>IF(L22="","",L13*'Start Here'!$C$10+L14*'Start Here'!$C$11+L15*'Start Here'!$C$12+L16*'Start Here'!$C$13+L17*'Start Here'!$C$14+L18*'Start Here'!$C$15+L19*'Start Here'!$C$16)</f>
        <v/>
      </c>
      <c r="M8" s="13" t="n"/>
      <c r="N8" s="12">
        <f>IF(N22="","",N13*'Start Here'!$C$10+N14*'Start Here'!$C$11+N15*'Start Here'!$C$12+N16*'Start Here'!$C$13+N17*'Start Here'!$C$14+N18*'Start Here'!$C$15+N19*'Start Here'!$C$16)</f>
        <v/>
      </c>
      <c r="O8" s="13" t="n"/>
      <c r="P8" s="12">
        <f>IF(P22="","",P13*'Start Here'!$C$10+P14*'Start Here'!$C$11+P15*'Start Here'!$C$12+P16*'Start Here'!$C$13+P17*'Start Here'!$C$14+P18*'Start Here'!$C$15+P19*'Start Here'!$C$16)</f>
        <v/>
      </c>
      <c r="Q8" s="13" t="n"/>
      <c r="R8" s="12">
        <f>IF(R22="","",R13*'Start Here'!$C$10+R14*'Start Here'!$C$11+R15*'Start Here'!$C$12+R16*'Start Here'!$C$13+R17*'Start Here'!$C$14+R18*'Start Here'!$C$15+R19*'Start Here'!$C$16)</f>
        <v/>
      </c>
      <c r="S8" s="13" t="n"/>
      <c r="T8" s="12">
        <f>IF(T22="","",T13*'Start Here'!$C$10+T14*'Start Here'!$C$11+T15*'Start Here'!$C$12+T16*'Start Here'!$C$13+T17*'Start Here'!$C$14+T18*'Start Here'!$C$15+T19*'Start Here'!$C$16)</f>
        <v/>
      </c>
      <c r="U8" s="13" t="n"/>
      <c r="V8" s="12">
        <f>IF(V22="","",V13*'Start Here'!$C$10+V14*'Start Here'!$C$11+V15*'Start Here'!$C$12+V16*'Start Here'!$C$13+V17*'Start Here'!$C$14+V18*'Start Here'!$C$15+V19*'Start Here'!$C$16)</f>
        <v/>
      </c>
      <c r="W8" s="13" t="n"/>
      <c r="X8" s="12">
        <f>IF(X22="","",X13*'Start Here'!$C$10+X14*'Start Here'!$C$11+X15*'Start Here'!$C$12+X16*'Start Here'!$C$13+X17*'Start Here'!$C$14+X18*'Start Here'!$C$15+X19*'Start Here'!$C$16)</f>
        <v/>
      </c>
      <c r="Y8" s="13" t="n"/>
      <c r="Z8" s="12">
        <f>IF(Z22="","",Z13*'Start Here'!$C$10+Z14*'Start Here'!$C$11+Z15*'Start Here'!$C$12+Z16*'Start Here'!$C$13+Z17*'Start Here'!$C$14+Z18*'Start Here'!$C$15+Z19*'Start Here'!$C$16)</f>
        <v/>
      </c>
      <c r="AA8" s="13" t="n"/>
      <c r="AB8" s="12">
        <f>IF(AB22="","",AB13*'Start Here'!$C$10+AB14*'Start Here'!$C$11+AB15*'Start Here'!$C$12+AB16*'Start Here'!$C$13+AB17*'Start Here'!$C$14+AB18*'Start Here'!$C$15+AB19*'Start Here'!$C$16)</f>
        <v/>
      </c>
      <c r="AC8" s="13" t="n"/>
      <c r="AD8" s="12">
        <f>IF(AD22="","",AD13*'Start Here'!$C$10+AD14*'Start Here'!$C$11+AD15*'Start Here'!$C$12+AD16*'Start Here'!$C$13+AD17*'Start Here'!$C$14+AD18*'Start Here'!$C$15+AD19*'Start Here'!$C$16)</f>
        <v/>
      </c>
      <c r="AE8" s="13" t="n"/>
      <c r="AF8" s="12">
        <f>IF(AF22="","",AF13*'Start Here'!$C$10+AF14*'Start Here'!$C$11+AF15*'Start Here'!$C$12+AF16*'Start Here'!$C$13+AF17*'Start Here'!$C$14+AF18*'Start Here'!$C$15+AF19*'Start Here'!$C$16)</f>
        <v/>
      </c>
      <c r="AG8" s="13" t="n"/>
      <c r="AH8" s="12">
        <f>IF(AH22="","",AH13*'Start Here'!$C$10+AH14*'Start Here'!$C$11+AH15*'Start Here'!$C$12+AH16*'Start Here'!$C$13+AH17*'Start Here'!$C$14+AH18*'Start Here'!$C$15+AH19*'Start Here'!$C$16)</f>
        <v/>
      </c>
      <c r="AI8" s="13" t="n"/>
      <c r="AJ8" s="12">
        <f>IF(AJ22="","",AJ13*'Start Here'!$C$10+AJ14*'Start Here'!$C$11+AJ15*'Start Here'!$C$12+AJ16*'Start Here'!$C$13+AJ17*'Start Here'!$C$14+AJ18*'Start Here'!$C$15+AJ19*'Start Here'!$C$16)</f>
        <v/>
      </c>
      <c r="AK8" s="13" t="n"/>
    </row>
    <row r="9" ht="18" customHeight="1">
      <c r="B9" s="14" t="inlineStr">
        <is>
          <t>Band</t>
        </is>
      </c>
      <c r="C9" s="11" t="inlineStr">
        <is>
          <t>80 Advance · 65 Consider · 50 Hold</t>
        </is>
      </c>
      <c r="F9" s="15">
        <f>IF(F22="","",IF(NOT(F13&gt;=0.6),"Conditional — ","")&amp;IF(F8&gt;=80,"Advance",IF(F8&gt;=65,"Consider",IF(F8&gt;=50,"Hold","Decline"))))</f>
        <v/>
      </c>
      <c r="G9" s="13" t="n"/>
      <c r="H9" s="15">
        <f>IF(H22="","",IF(NOT(H13&gt;=0.6),"Conditional — ","")&amp;IF(H8&gt;=80,"Advance",IF(H8&gt;=65,"Consider",IF(H8&gt;=50,"Hold","Decline"))))</f>
        <v/>
      </c>
      <c r="I9" s="13" t="n"/>
      <c r="J9" s="15">
        <f>IF(J22="","",IF(NOT(J13&gt;=0.6),"Conditional — ","")&amp;IF(J8&gt;=80,"Advance",IF(J8&gt;=65,"Consider",IF(J8&gt;=50,"Hold","Decline"))))</f>
        <v/>
      </c>
      <c r="K9" s="13" t="n"/>
      <c r="L9" s="15">
        <f>IF(L22="","",IF(NOT(L13&gt;=0.6),"Conditional — ","")&amp;IF(L8&gt;=80,"Advance",IF(L8&gt;=65,"Consider",IF(L8&gt;=50,"Hold","Decline"))))</f>
        <v/>
      </c>
      <c r="M9" s="13" t="n"/>
      <c r="N9" s="15">
        <f>IF(N22="","",IF(NOT(N13&gt;=0.6),"Conditional — ","")&amp;IF(N8&gt;=80,"Advance",IF(N8&gt;=65,"Consider",IF(N8&gt;=50,"Hold","Decline"))))</f>
        <v/>
      </c>
      <c r="O9" s="13" t="n"/>
      <c r="P9" s="15">
        <f>IF(P22="","",IF(NOT(P13&gt;=0.6),"Conditional — ","")&amp;IF(P8&gt;=80,"Advance",IF(P8&gt;=65,"Consider",IF(P8&gt;=50,"Hold","Decline"))))</f>
        <v/>
      </c>
      <c r="Q9" s="13" t="n"/>
      <c r="R9" s="15">
        <f>IF(R22="","",IF(NOT(R13&gt;=0.6),"Conditional — ","")&amp;IF(R8&gt;=80,"Advance",IF(R8&gt;=65,"Consider",IF(R8&gt;=50,"Hold","Decline"))))</f>
        <v/>
      </c>
      <c r="S9" s="13" t="n"/>
      <c r="T9" s="15">
        <f>IF(T22="","",IF(NOT(T13&gt;=0.6),"Conditional — ","")&amp;IF(T8&gt;=80,"Advance",IF(T8&gt;=65,"Consider",IF(T8&gt;=50,"Hold","Decline"))))</f>
        <v/>
      </c>
      <c r="U9" s="13" t="n"/>
      <c r="V9" s="15">
        <f>IF(V22="","",IF(NOT(V13&gt;=0.6),"Conditional — ","")&amp;IF(V8&gt;=80,"Advance",IF(V8&gt;=65,"Consider",IF(V8&gt;=50,"Hold","Decline"))))</f>
        <v/>
      </c>
      <c r="W9" s="13" t="n"/>
      <c r="X9" s="15">
        <f>IF(X22="","",IF(NOT(X13&gt;=0.6),"Conditional — ","")&amp;IF(X8&gt;=80,"Advance",IF(X8&gt;=65,"Consider",IF(X8&gt;=50,"Hold","Decline"))))</f>
        <v/>
      </c>
      <c r="Y9" s="13" t="n"/>
      <c r="Z9" s="15">
        <f>IF(Z22="","",IF(NOT(Z13&gt;=0.6),"Conditional — ","")&amp;IF(Z8&gt;=80,"Advance",IF(Z8&gt;=65,"Consider",IF(Z8&gt;=50,"Hold","Decline"))))</f>
        <v/>
      </c>
      <c r="AA9" s="13" t="n"/>
      <c r="AB9" s="15">
        <f>IF(AB22="","",IF(NOT(AB13&gt;=0.6),"Conditional — ","")&amp;IF(AB8&gt;=80,"Advance",IF(AB8&gt;=65,"Consider",IF(AB8&gt;=50,"Hold","Decline"))))</f>
        <v/>
      </c>
      <c r="AC9" s="13" t="n"/>
      <c r="AD9" s="15">
        <f>IF(AD22="","",IF(NOT(AD13&gt;=0.6),"Conditional — ","")&amp;IF(AD8&gt;=80,"Advance",IF(AD8&gt;=65,"Consider",IF(AD8&gt;=50,"Hold","Decline"))))</f>
        <v/>
      </c>
      <c r="AE9" s="13" t="n"/>
      <c r="AF9" s="15">
        <f>IF(AF22="","",IF(NOT(AF13&gt;=0.6),"Conditional — ","")&amp;IF(AF8&gt;=80,"Advance",IF(AF8&gt;=65,"Consider",IF(AF8&gt;=50,"Hold","Decline"))))</f>
        <v/>
      </c>
      <c r="AG9" s="13" t="n"/>
      <c r="AH9" s="15">
        <f>IF(AH22="","",IF(NOT(AH13&gt;=0.6),"Conditional — ","")&amp;IF(AH8&gt;=80,"Advance",IF(AH8&gt;=65,"Consider",IF(AH8&gt;=50,"Hold","Decline"))))</f>
        <v/>
      </c>
      <c r="AI9" s="13" t="n"/>
      <c r="AJ9" s="15">
        <f>IF(AJ22="","",IF(NOT(AJ13&gt;=0.6),"Conditional — ","")&amp;IF(AJ8&gt;=80,"Advance",IF(AJ8&gt;=65,"Consider",IF(AJ8&gt;=50,"Hold","Decline"))))</f>
        <v/>
      </c>
      <c r="AK9" s="13" t="n"/>
    </row>
    <row r="10" ht="18" customHeight="1">
      <c r="B10" s="16" t="inlineStr">
        <is>
          <t>Stop-checks</t>
        </is>
      </c>
      <c r="C10" s="11" t="inlineStr">
        <is>
          <t>of three</t>
        </is>
      </c>
      <c r="F10" s="17">
        <f>IF(F22="","",IF(F23="STOP-CHECK",1,0)+IF(F24="STOP-CHECK",1,0)+IF(F42="STOP-CHECK",1,0))</f>
        <v/>
      </c>
      <c r="G10" s="13" t="n"/>
      <c r="H10" s="17">
        <f>IF(H22="","",IF(H23="STOP-CHECK",1,0)+IF(H24="STOP-CHECK",1,0)+IF(H42="STOP-CHECK",1,0))</f>
        <v/>
      </c>
      <c r="I10" s="13" t="n"/>
      <c r="J10" s="17">
        <f>IF(J22="","",IF(J23="STOP-CHECK",1,0)+IF(J24="STOP-CHECK",1,0)+IF(J42="STOP-CHECK",1,0))</f>
        <v/>
      </c>
      <c r="K10" s="13" t="n"/>
      <c r="L10" s="17">
        <f>IF(L22="","",IF(L23="STOP-CHECK",1,0)+IF(L24="STOP-CHECK",1,0)+IF(L42="STOP-CHECK",1,0))</f>
        <v/>
      </c>
      <c r="M10" s="13" t="n"/>
      <c r="N10" s="17">
        <f>IF(N22="","",IF(N23="STOP-CHECK",1,0)+IF(N24="STOP-CHECK",1,0)+IF(N42="STOP-CHECK",1,0))</f>
        <v/>
      </c>
      <c r="O10" s="13" t="n"/>
      <c r="P10" s="17">
        <f>IF(P22="","",IF(P23="STOP-CHECK",1,0)+IF(P24="STOP-CHECK",1,0)+IF(P42="STOP-CHECK",1,0))</f>
        <v/>
      </c>
      <c r="Q10" s="13" t="n"/>
      <c r="R10" s="17">
        <f>IF(R22="","",IF(R23="STOP-CHECK",1,0)+IF(R24="STOP-CHECK",1,0)+IF(R42="STOP-CHECK",1,0))</f>
        <v/>
      </c>
      <c r="S10" s="13" t="n"/>
      <c r="T10" s="17">
        <f>IF(T22="","",IF(T23="STOP-CHECK",1,0)+IF(T24="STOP-CHECK",1,0)+IF(T42="STOP-CHECK",1,0))</f>
        <v/>
      </c>
      <c r="U10" s="13" t="n"/>
      <c r="V10" s="17">
        <f>IF(V22="","",IF(V23="STOP-CHECK",1,0)+IF(V24="STOP-CHECK",1,0)+IF(V42="STOP-CHECK",1,0))</f>
        <v/>
      </c>
      <c r="W10" s="13" t="n"/>
      <c r="X10" s="17">
        <f>IF(X22="","",IF(X23="STOP-CHECK",1,0)+IF(X24="STOP-CHECK",1,0)+IF(X42="STOP-CHECK",1,0))</f>
        <v/>
      </c>
      <c r="Y10" s="13" t="n"/>
      <c r="Z10" s="17">
        <f>IF(Z22="","",IF(Z23="STOP-CHECK",1,0)+IF(Z24="STOP-CHECK",1,0)+IF(Z42="STOP-CHECK",1,0))</f>
        <v/>
      </c>
      <c r="AA10" s="13" t="n"/>
      <c r="AB10" s="17">
        <f>IF(AB22="","",IF(AB23="STOP-CHECK",1,0)+IF(AB24="STOP-CHECK",1,0)+IF(AB42="STOP-CHECK",1,0))</f>
        <v/>
      </c>
      <c r="AC10" s="13" t="n"/>
      <c r="AD10" s="17">
        <f>IF(AD22="","",IF(AD23="STOP-CHECK",1,0)+IF(AD24="STOP-CHECK",1,0)+IF(AD42="STOP-CHECK",1,0))</f>
        <v/>
      </c>
      <c r="AE10" s="13" t="n"/>
      <c r="AF10" s="17">
        <f>IF(AF22="","",IF(AF23="STOP-CHECK",1,0)+IF(AF24="STOP-CHECK",1,0)+IF(AF42="STOP-CHECK",1,0))</f>
        <v/>
      </c>
      <c r="AG10" s="13" t="n"/>
      <c r="AH10" s="17">
        <f>IF(AH22="","",IF(AH23="STOP-CHECK",1,0)+IF(AH24="STOP-CHECK",1,0)+IF(AH42="STOP-CHECK",1,0))</f>
        <v/>
      </c>
      <c r="AI10" s="13" t="n"/>
      <c r="AJ10" s="17">
        <f>IF(AJ22="","",IF(AJ23="STOP-CHECK",1,0)+IF(AJ24="STOP-CHECK",1,0)+IF(AJ42="STOP-CHECK",1,0))</f>
        <v/>
      </c>
      <c r="AK10" s="13" t="n"/>
    </row>
    <row r="12" ht="18" customHeight="1">
      <c r="B12" s="18" t="inlineStr">
        <is>
          <t>SECTION GRADES   —   each on its own scale, unweighted</t>
        </is>
      </c>
    </row>
    <row r="13" ht="17" customHeight="1">
      <c r="B13" s="19" t="inlineStr">
        <is>
          <t>Home Care Home Base</t>
        </is>
      </c>
      <c r="F13" s="20">
        <f>IF(F22="","",(IFERROR(VLOOKUP(F22,Lists!$B$2:$C$7,2,FALSE),0))/20)</f>
        <v/>
      </c>
      <c r="G13" s="13" t="n"/>
      <c r="H13" s="20">
        <f>IF(H22="","",(IFERROR(VLOOKUP(H22,Lists!$B$2:$C$7,2,FALSE),0))/20)</f>
        <v/>
      </c>
      <c r="I13" s="13" t="n"/>
      <c r="J13" s="20">
        <f>IF(J22="","",(IFERROR(VLOOKUP(J22,Lists!$B$2:$C$7,2,FALSE),0))/20)</f>
        <v/>
      </c>
      <c r="K13" s="13" t="n"/>
      <c r="L13" s="20">
        <f>IF(L22="","",(IFERROR(VLOOKUP(L22,Lists!$B$2:$C$7,2,FALSE),0))/20)</f>
        <v/>
      </c>
      <c r="M13" s="13" t="n"/>
      <c r="N13" s="20">
        <f>IF(N22="","",(IFERROR(VLOOKUP(N22,Lists!$B$2:$C$7,2,FALSE),0))/20)</f>
        <v/>
      </c>
      <c r="O13" s="13" t="n"/>
      <c r="P13" s="20">
        <f>IF(P22="","",(IFERROR(VLOOKUP(P22,Lists!$B$2:$C$7,2,FALSE),0))/20)</f>
        <v/>
      </c>
      <c r="Q13" s="13" t="n"/>
      <c r="R13" s="20">
        <f>IF(R22="","",(IFERROR(VLOOKUP(R22,Lists!$B$2:$C$7,2,FALSE),0))/20)</f>
        <v/>
      </c>
      <c r="S13" s="13" t="n"/>
      <c r="T13" s="20">
        <f>IF(T22="","",(IFERROR(VLOOKUP(T22,Lists!$B$2:$C$7,2,FALSE),0))/20)</f>
        <v/>
      </c>
      <c r="U13" s="13" t="n"/>
      <c r="V13" s="20">
        <f>IF(V22="","",(IFERROR(VLOOKUP(V22,Lists!$B$2:$C$7,2,FALSE),0))/20)</f>
        <v/>
      </c>
      <c r="W13" s="13" t="n"/>
      <c r="X13" s="20">
        <f>IF(X22="","",(IFERROR(VLOOKUP(X22,Lists!$B$2:$C$7,2,FALSE),0))/20)</f>
        <v/>
      </c>
      <c r="Y13" s="13" t="n"/>
      <c r="Z13" s="20">
        <f>IF(Z22="","",(IFERROR(VLOOKUP(Z22,Lists!$B$2:$C$7,2,FALSE),0))/20)</f>
        <v/>
      </c>
      <c r="AA13" s="13" t="n"/>
      <c r="AB13" s="20">
        <f>IF(AB22="","",(IFERROR(VLOOKUP(AB22,Lists!$B$2:$C$7,2,FALSE),0))/20)</f>
        <v/>
      </c>
      <c r="AC13" s="13" t="n"/>
      <c r="AD13" s="20">
        <f>IF(AD22="","",(IFERROR(VLOOKUP(AD22,Lists!$B$2:$C$7,2,FALSE),0))/20)</f>
        <v/>
      </c>
      <c r="AE13" s="13" t="n"/>
      <c r="AF13" s="20">
        <f>IF(AF22="","",(IFERROR(VLOOKUP(AF22,Lists!$B$2:$C$7,2,FALSE),0))/20)</f>
        <v/>
      </c>
      <c r="AG13" s="13" t="n"/>
      <c r="AH13" s="20">
        <f>IF(AH22="","",(IFERROR(VLOOKUP(AH22,Lists!$B$2:$C$7,2,FALSE),0))/20)</f>
        <v/>
      </c>
      <c r="AI13" s="13" t="n"/>
      <c r="AJ13" s="20">
        <f>IF(AJ22="","",(IFERROR(VLOOKUP(AJ22,Lists!$B$2:$C$7,2,FALSE),0))/20)</f>
        <v/>
      </c>
      <c r="AK13" s="13" t="n"/>
    </row>
    <row r="14" ht="17" customHeight="1">
      <c r="B14" s="21" t="inlineStr">
        <is>
          <t>Capacity</t>
        </is>
      </c>
      <c r="F14" s="20">
        <f>IF(F22="","",(IFERROR(VALUE(LEFT(F28,1)),0)+IFERROR(VALUE(LEFT(F29,1)),0)+IFERROR(VALUE(LEFT(F30,1)),0))/12)</f>
        <v/>
      </c>
      <c r="G14" s="13" t="n"/>
      <c r="H14" s="20">
        <f>IF(H22="","",(IFERROR(VALUE(LEFT(H28,1)),0)+IFERROR(VALUE(LEFT(H29,1)),0)+IFERROR(VALUE(LEFT(H30,1)),0))/12)</f>
        <v/>
      </c>
      <c r="I14" s="13" t="n"/>
      <c r="J14" s="20">
        <f>IF(J22="","",(IFERROR(VALUE(LEFT(J28,1)),0)+IFERROR(VALUE(LEFT(J29,1)),0)+IFERROR(VALUE(LEFT(J30,1)),0))/12)</f>
        <v/>
      </c>
      <c r="K14" s="13" t="n"/>
      <c r="L14" s="20">
        <f>IF(L22="","",(IFERROR(VALUE(LEFT(L28,1)),0)+IFERROR(VALUE(LEFT(L29,1)),0)+IFERROR(VALUE(LEFT(L30,1)),0))/12)</f>
        <v/>
      </c>
      <c r="M14" s="13" t="n"/>
      <c r="N14" s="20">
        <f>IF(N22="","",(IFERROR(VALUE(LEFT(N28,1)),0)+IFERROR(VALUE(LEFT(N29,1)),0)+IFERROR(VALUE(LEFT(N30,1)),0))/12)</f>
        <v/>
      </c>
      <c r="O14" s="13" t="n"/>
      <c r="P14" s="20">
        <f>IF(P22="","",(IFERROR(VALUE(LEFT(P28,1)),0)+IFERROR(VALUE(LEFT(P29,1)),0)+IFERROR(VALUE(LEFT(P30,1)),0))/12)</f>
        <v/>
      </c>
      <c r="Q14" s="13" t="n"/>
      <c r="R14" s="20">
        <f>IF(R22="","",(IFERROR(VALUE(LEFT(R28,1)),0)+IFERROR(VALUE(LEFT(R29,1)),0)+IFERROR(VALUE(LEFT(R30,1)),0))/12)</f>
        <v/>
      </c>
      <c r="S14" s="13" t="n"/>
      <c r="T14" s="20">
        <f>IF(T22="","",(IFERROR(VALUE(LEFT(T28,1)),0)+IFERROR(VALUE(LEFT(T29,1)),0)+IFERROR(VALUE(LEFT(T30,1)),0))/12)</f>
        <v/>
      </c>
      <c r="U14" s="13" t="n"/>
      <c r="V14" s="20">
        <f>IF(V22="","",(IFERROR(VALUE(LEFT(V28,1)),0)+IFERROR(VALUE(LEFT(V29,1)),0)+IFERROR(VALUE(LEFT(V30,1)),0))/12)</f>
        <v/>
      </c>
      <c r="W14" s="13" t="n"/>
      <c r="X14" s="20">
        <f>IF(X22="","",(IFERROR(VALUE(LEFT(X28,1)),0)+IFERROR(VALUE(LEFT(X29,1)),0)+IFERROR(VALUE(LEFT(X30,1)),0))/12)</f>
        <v/>
      </c>
      <c r="Y14" s="13" t="n"/>
      <c r="Z14" s="20">
        <f>IF(Z22="","",(IFERROR(VALUE(LEFT(Z28,1)),0)+IFERROR(VALUE(LEFT(Z29,1)),0)+IFERROR(VALUE(LEFT(Z30,1)),0))/12)</f>
        <v/>
      </c>
      <c r="AA14" s="13" t="n"/>
      <c r="AB14" s="20">
        <f>IF(AB22="","",(IFERROR(VALUE(LEFT(AB28,1)),0)+IFERROR(VALUE(LEFT(AB29,1)),0)+IFERROR(VALUE(LEFT(AB30,1)),0))/12)</f>
        <v/>
      </c>
      <c r="AC14" s="13" t="n"/>
      <c r="AD14" s="20">
        <f>IF(AD22="","",(IFERROR(VALUE(LEFT(AD28,1)),0)+IFERROR(VALUE(LEFT(AD29,1)),0)+IFERROR(VALUE(LEFT(AD30,1)),0))/12)</f>
        <v/>
      </c>
      <c r="AE14" s="13" t="n"/>
      <c r="AF14" s="20">
        <f>IF(AF22="","",(IFERROR(VALUE(LEFT(AF28,1)),0)+IFERROR(VALUE(LEFT(AF29,1)),0)+IFERROR(VALUE(LEFT(AF30,1)),0))/12)</f>
        <v/>
      </c>
      <c r="AG14" s="13" t="n"/>
      <c r="AH14" s="20">
        <f>IF(AH22="","",(IFERROR(VALUE(LEFT(AH28,1)),0)+IFERROR(VALUE(LEFT(AH29,1)),0)+IFERROR(VALUE(LEFT(AH30,1)),0))/12)</f>
        <v/>
      </c>
      <c r="AI14" s="13" t="n"/>
      <c r="AJ14" s="20">
        <f>IF(AJ22="","",(IFERROR(VALUE(LEFT(AJ28,1)),0)+IFERROR(VALUE(LEFT(AJ29,1)),0)+IFERROR(VALUE(LEFT(AJ30,1)),0))/12)</f>
        <v/>
      </c>
      <c r="AK14" s="13" t="n"/>
    </row>
    <row r="15" ht="17" customHeight="1">
      <c r="B15" s="22" t="inlineStr">
        <is>
          <t>Scheduling</t>
        </is>
      </c>
      <c r="F15" s="20">
        <f>IF(F22="","",(IFERROR(VALUE(LEFT(F32,1)),0)+IFERROR(VALUE(LEFT(F33,1)),0)+IFERROR(VALUE(LEFT(F34,1)),0))/12)</f>
        <v/>
      </c>
      <c r="G15" s="13" t="n"/>
      <c r="H15" s="20">
        <f>IF(H22="","",(IFERROR(VALUE(LEFT(H32,1)),0)+IFERROR(VALUE(LEFT(H33,1)),0)+IFERROR(VALUE(LEFT(H34,1)),0))/12)</f>
        <v/>
      </c>
      <c r="I15" s="13" t="n"/>
      <c r="J15" s="20">
        <f>IF(J22="","",(IFERROR(VALUE(LEFT(J32,1)),0)+IFERROR(VALUE(LEFT(J33,1)),0)+IFERROR(VALUE(LEFT(J34,1)),0))/12)</f>
        <v/>
      </c>
      <c r="K15" s="13" t="n"/>
      <c r="L15" s="20">
        <f>IF(L22="","",(IFERROR(VALUE(LEFT(L32,1)),0)+IFERROR(VALUE(LEFT(L33,1)),0)+IFERROR(VALUE(LEFT(L34,1)),0))/12)</f>
        <v/>
      </c>
      <c r="M15" s="13" t="n"/>
      <c r="N15" s="20">
        <f>IF(N22="","",(IFERROR(VALUE(LEFT(N32,1)),0)+IFERROR(VALUE(LEFT(N33,1)),0)+IFERROR(VALUE(LEFT(N34,1)),0))/12)</f>
        <v/>
      </c>
      <c r="O15" s="13" t="n"/>
      <c r="P15" s="20">
        <f>IF(P22="","",(IFERROR(VALUE(LEFT(P32,1)),0)+IFERROR(VALUE(LEFT(P33,1)),0)+IFERROR(VALUE(LEFT(P34,1)),0))/12)</f>
        <v/>
      </c>
      <c r="Q15" s="13" t="n"/>
      <c r="R15" s="20">
        <f>IF(R22="","",(IFERROR(VALUE(LEFT(R32,1)),0)+IFERROR(VALUE(LEFT(R33,1)),0)+IFERROR(VALUE(LEFT(R34,1)),0))/12)</f>
        <v/>
      </c>
      <c r="S15" s="13" t="n"/>
      <c r="T15" s="20">
        <f>IF(T22="","",(IFERROR(VALUE(LEFT(T32,1)),0)+IFERROR(VALUE(LEFT(T33,1)),0)+IFERROR(VALUE(LEFT(T34,1)),0))/12)</f>
        <v/>
      </c>
      <c r="U15" s="13" t="n"/>
      <c r="V15" s="20">
        <f>IF(V22="","",(IFERROR(VALUE(LEFT(V32,1)),0)+IFERROR(VALUE(LEFT(V33,1)),0)+IFERROR(VALUE(LEFT(V34,1)),0))/12)</f>
        <v/>
      </c>
      <c r="W15" s="13" t="n"/>
      <c r="X15" s="20">
        <f>IF(X22="","",(IFERROR(VALUE(LEFT(X32,1)),0)+IFERROR(VALUE(LEFT(X33,1)),0)+IFERROR(VALUE(LEFT(X34,1)),0))/12)</f>
        <v/>
      </c>
      <c r="Y15" s="13" t="n"/>
      <c r="Z15" s="20">
        <f>IF(Z22="","",(IFERROR(VALUE(LEFT(Z32,1)),0)+IFERROR(VALUE(LEFT(Z33,1)),0)+IFERROR(VALUE(LEFT(Z34,1)),0))/12)</f>
        <v/>
      </c>
      <c r="AA15" s="13" t="n"/>
      <c r="AB15" s="20">
        <f>IF(AB22="","",(IFERROR(VALUE(LEFT(AB32,1)),0)+IFERROR(VALUE(LEFT(AB33,1)),0)+IFERROR(VALUE(LEFT(AB34,1)),0))/12)</f>
        <v/>
      </c>
      <c r="AC15" s="13" t="n"/>
      <c r="AD15" s="20">
        <f>IF(AD22="","",(IFERROR(VALUE(LEFT(AD32,1)),0)+IFERROR(VALUE(LEFT(AD33,1)),0)+IFERROR(VALUE(LEFT(AD34,1)),0))/12)</f>
        <v/>
      </c>
      <c r="AE15" s="13" t="n"/>
      <c r="AF15" s="20">
        <f>IF(AF22="","",(IFERROR(VALUE(LEFT(AF32,1)),0)+IFERROR(VALUE(LEFT(AF33,1)),0)+IFERROR(VALUE(LEFT(AF34,1)),0))/12)</f>
        <v/>
      </c>
      <c r="AG15" s="13" t="n"/>
      <c r="AH15" s="20">
        <f>IF(AH22="","",(IFERROR(VALUE(LEFT(AH32,1)),0)+IFERROR(VALUE(LEFT(AH33,1)),0)+IFERROR(VALUE(LEFT(AH34,1)),0))/12)</f>
        <v/>
      </c>
      <c r="AI15" s="13" t="n"/>
      <c r="AJ15" s="20">
        <f>IF(AJ22="","",(IFERROR(VALUE(LEFT(AJ32,1)),0)+IFERROR(VALUE(LEFT(AJ33,1)),0)+IFERROR(VALUE(LEFT(AJ34,1)),0))/12)</f>
        <v/>
      </c>
      <c r="AK15" s="13" t="n"/>
    </row>
    <row r="16" ht="17" customHeight="1">
      <c r="B16" s="23" t="inlineStr">
        <is>
          <t>Engagement</t>
        </is>
      </c>
      <c r="F16" s="20">
        <f>IF(F22="","",(IFERROR(VALUE(LEFT(F36,1)),0)+IFERROR(VALUE(LEFT(F37,1)),0)+IFERROR(VALUE(LEFT(F38,1)),0))/12)</f>
        <v/>
      </c>
      <c r="G16" s="13" t="n"/>
      <c r="H16" s="20">
        <f>IF(H22="","",(IFERROR(VALUE(LEFT(H36,1)),0)+IFERROR(VALUE(LEFT(H37,1)),0)+IFERROR(VALUE(LEFT(H38,1)),0))/12)</f>
        <v/>
      </c>
      <c r="I16" s="13" t="n"/>
      <c r="J16" s="20">
        <f>IF(J22="","",(IFERROR(VALUE(LEFT(J36,1)),0)+IFERROR(VALUE(LEFT(J37,1)),0)+IFERROR(VALUE(LEFT(J38,1)),0))/12)</f>
        <v/>
      </c>
      <c r="K16" s="13" t="n"/>
      <c r="L16" s="20">
        <f>IF(L22="","",(IFERROR(VALUE(LEFT(L36,1)),0)+IFERROR(VALUE(LEFT(L37,1)),0)+IFERROR(VALUE(LEFT(L38,1)),0))/12)</f>
        <v/>
      </c>
      <c r="M16" s="13" t="n"/>
      <c r="N16" s="20">
        <f>IF(N22="","",(IFERROR(VALUE(LEFT(N36,1)),0)+IFERROR(VALUE(LEFT(N37,1)),0)+IFERROR(VALUE(LEFT(N38,1)),0))/12)</f>
        <v/>
      </c>
      <c r="O16" s="13" t="n"/>
      <c r="P16" s="20">
        <f>IF(P22="","",(IFERROR(VALUE(LEFT(P36,1)),0)+IFERROR(VALUE(LEFT(P37,1)),0)+IFERROR(VALUE(LEFT(P38,1)),0))/12)</f>
        <v/>
      </c>
      <c r="Q16" s="13" t="n"/>
      <c r="R16" s="20">
        <f>IF(R22="","",(IFERROR(VALUE(LEFT(R36,1)),0)+IFERROR(VALUE(LEFT(R37,1)),0)+IFERROR(VALUE(LEFT(R38,1)),0))/12)</f>
        <v/>
      </c>
      <c r="S16" s="13" t="n"/>
      <c r="T16" s="20">
        <f>IF(T22="","",(IFERROR(VALUE(LEFT(T36,1)),0)+IFERROR(VALUE(LEFT(T37,1)),0)+IFERROR(VALUE(LEFT(T38,1)),0))/12)</f>
        <v/>
      </c>
      <c r="U16" s="13" t="n"/>
      <c r="V16" s="20">
        <f>IF(V22="","",(IFERROR(VALUE(LEFT(V36,1)),0)+IFERROR(VALUE(LEFT(V37,1)),0)+IFERROR(VALUE(LEFT(V38,1)),0))/12)</f>
        <v/>
      </c>
      <c r="W16" s="13" t="n"/>
      <c r="X16" s="20">
        <f>IF(X22="","",(IFERROR(VALUE(LEFT(X36,1)),0)+IFERROR(VALUE(LEFT(X37,1)),0)+IFERROR(VALUE(LEFT(X38,1)),0))/12)</f>
        <v/>
      </c>
      <c r="Y16" s="13" t="n"/>
      <c r="Z16" s="20">
        <f>IF(Z22="","",(IFERROR(VALUE(LEFT(Z36,1)),0)+IFERROR(VALUE(LEFT(Z37,1)),0)+IFERROR(VALUE(LEFT(Z38,1)),0))/12)</f>
        <v/>
      </c>
      <c r="AA16" s="13" t="n"/>
      <c r="AB16" s="20">
        <f>IF(AB22="","",(IFERROR(VALUE(LEFT(AB36,1)),0)+IFERROR(VALUE(LEFT(AB37,1)),0)+IFERROR(VALUE(LEFT(AB38,1)),0))/12)</f>
        <v/>
      </c>
      <c r="AC16" s="13" t="n"/>
      <c r="AD16" s="20">
        <f>IF(AD22="","",(IFERROR(VALUE(LEFT(AD36,1)),0)+IFERROR(VALUE(LEFT(AD37,1)),0)+IFERROR(VALUE(LEFT(AD38,1)),0))/12)</f>
        <v/>
      </c>
      <c r="AE16" s="13" t="n"/>
      <c r="AF16" s="20">
        <f>IF(AF22="","",(IFERROR(VALUE(LEFT(AF36,1)),0)+IFERROR(VALUE(LEFT(AF37,1)),0)+IFERROR(VALUE(LEFT(AF38,1)),0))/12)</f>
        <v/>
      </c>
      <c r="AG16" s="13" t="n"/>
      <c r="AH16" s="20">
        <f>IF(AH22="","",(IFERROR(VALUE(LEFT(AH36,1)),0)+IFERROR(VALUE(LEFT(AH37,1)),0)+IFERROR(VALUE(LEFT(AH38,1)),0))/12)</f>
        <v/>
      </c>
      <c r="AI16" s="13" t="n"/>
      <c r="AJ16" s="20">
        <f>IF(AJ22="","",(IFERROR(VALUE(LEFT(AJ36,1)),0)+IFERROR(VALUE(LEFT(AJ37,1)),0)+IFERROR(VALUE(LEFT(AJ38,1)),0))/12)</f>
        <v/>
      </c>
      <c r="AK16" s="13" t="n"/>
    </row>
    <row r="17" ht="17" customHeight="1">
      <c r="B17" s="24" t="inlineStr">
        <is>
          <t>Sophistication</t>
        </is>
      </c>
      <c r="F17" s="25">
        <f>IF(F22="","",(IFERROR(VALUE(LEFT(F41,1)),0))/4)</f>
        <v/>
      </c>
      <c r="G17" s="13" t="n"/>
      <c r="H17" s="25">
        <f>IF(H22="","",(IFERROR(VALUE(LEFT(H41,1)),0))/4)</f>
        <v/>
      </c>
      <c r="I17" s="13" t="n"/>
      <c r="J17" s="25">
        <f>IF(J22="","",(IFERROR(VALUE(LEFT(J41,1)),0))/4)</f>
        <v/>
      </c>
      <c r="K17" s="13" t="n"/>
      <c r="L17" s="25">
        <f>IF(L22="","",(IFERROR(VALUE(LEFT(L41,1)),0))/4)</f>
        <v/>
      </c>
      <c r="M17" s="13" t="n"/>
      <c r="N17" s="25">
        <f>IF(N22="","",(IFERROR(VALUE(LEFT(N41,1)),0))/4)</f>
        <v/>
      </c>
      <c r="O17" s="13" t="n"/>
      <c r="P17" s="25">
        <f>IF(P22="","",(IFERROR(VALUE(LEFT(P41,1)),0))/4)</f>
        <v/>
      </c>
      <c r="Q17" s="13" t="n"/>
      <c r="R17" s="25">
        <f>IF(R22="","",(IFERROR(VALUE(LEFT(R41,1)),0))/4)</f>
        <v/>
      </c>
      <c r="S17" s="13" t="n"/>
      <c r="T17" s="25">
        <f>IF(T22="","",(IFERROR(VALUE(LEFT(T41,1)),0))/4)</f>
        <v/>
      </c>
      <c r="U17" s="13" t="n"/>
      <c r="V17" s="25">
        <f>IF(V22="","",(IFERROR(VALUE(LEFT(V41,1)),0))/4)</f>
        <v/>
      </c>
      <c r="W17" s="13" t="n"/>
      <c r="X17" s="25">
        <f>IF(X22="","",(IFERROR(VALUE(LEFT(X41,1)),0))/4)</f>
        <v/>
      </c>
      <c r="Y17" s="13" t="n"/>
      <c r="Z17" s="25">
        <f>IF(Z22="","",(IFERROR(VALUE(LEFT(Z41,1)),0))/4)</f>
        <v/>
      </c>
      <c r="AA17" s="13" t="n"/>
      <c r="AB17" s="25">
        <f>IF(AB22="","",(IFERROR(VALUE(LEFT(AB41,1)),0))/4)</f>
        <v/>
      </c>
      <c r="AC17" s="13" t="n"/>
      <c r="AD17" s="25">
        <f>IF(AD22="","",(IFERROR(VALUE(LEFT(AD41,1)),0))/4)</f>
        <v/>
      </c>
      <c r="AE17" s="13" t="n"/>
      <c r="AF17" s="25">
        <f>IF(AF22="","",(IFERROR(VALUE(LEFT(AF41,1)),0))/4)</f>
        <v/>
      </c>
      <c r="AG17" s="13" t="n"/>
      <c r="AH17" s="25">
        <f>IF(AH22="","",(IFERROR(VALUE(LEFT(AH41,1)),0))/4)</f>
        <v/>
      </c>
      <c r="AI17" s="13" t="n"/>
      <c r="AJ17" s="25">
        <f>IF(AJ22="","",(IFERROR(VALUE(LEFT(AJ41,1)),0))/4)</f>
        <v/>
      </c>
      <c r="AK17" s="13" t="n"/>
    </row>
    <row r="18" ht="17" customHeight="1">
      <c r="B18" s="26" t="inlineStr">
        <is>
          <t>Clinician fit</t>
        </is>
      </c>
      <c r="F18" s="25">
        <f>IF(F22="","",(IFERROR(VALUE(LEFT(F45,1)),0))/4)</f>
        <v/>
      </c>
      <c r="G18" s="13" t="n"/>
      <c r="H18" s="25">
        <f>IF(H22="","",(IFERROR(VALUE(LEFT(H45,1)),0))/4)</f>
        <v/>
      </c>
      <c r="I18" s="13" t="n"/>
      <c r="J18" s="25">
        <f>IF(J22="","",(IFERROR(VALUE(LEFT(J45,1)),0))/4)</f>
        <v/>
      </c>
      <c r="K18" s="13" t="n"/>
      <c r="L18" s="25">
        <f>IF(L22="","",(IFERROR(VALUE(LEFT(L45,1)),0))/4)</f>
        <v/>
      </c>
      <c r="M18" s="13" t="n"/>
      <c r="N18" s="25">
        <f>IF(N22="","",(IFERROR(VALUE(LEFT(N45,1)),0))/4)</f>
        <v/>
      </c>
      <c r="O18" s="13" t="n"/>
      <c r="P18" s="25">
        <f>IF(P22="","",(IFERROR(VALUE(LEFT(P45,1)),0))/4)</f>
        <v/>
      </c>
      <c r="Q18" s="13" t="n"/>
      <c r="R18" s="25">
        <f>IF(R22="","",(IFERROR(VALUE(LEFT(R45,1)),0))/4)</f>
        <v/>
      </c>
      <c r="S18" s="13" t="n"/>
      <c r="T18" s="25">
        <f>IF(T22="","",(IFERROR(VALUE(LEFT(T45,1)),0))/4)</f>
        <v/>
      </c>
      <c r="U18" s="13" t="n"/>
      <c r="V18" s="25">
        <f>IF(V22="","",(IFERROR(VALUE(LEFT(V45,1)),0))/4)</f>
        <v/>
      </c>
      <c r="W18" s="13" t="n"/>
      <c r="X18" s="25">
        <f>IF(X22="","",(IFERROR(VALUE(LEFT(X45,1)),0))/4)</f>
        <v/>
      </c>
      <c r="Y18" s="13" t="n"/>
      <c r="Z18" s="25">
        <f>IF(Z22="","",(IFERROR(VALUE(LEFT(Z45,1)),0))/4)</f>
        <v/>
      </c>
      <c r="AA18" s="13" t="n"/>
      <c r="AB18" s="25">
        <f>IF(AB22="","",(IFERROR(VALUE(LEFT(AB45,1)),0))/4)</f>
        <v/>
      </c>
      <c r="AC18" s="13" t="n"/>
      <c r="AD18" s="25">
        <f>IF(AD22="","",(IFERROR(VALUE(LEFT(AD45,1)),0))/4)</f>
        <v/>
      </c>
      <c r="AE18" s="13" t="n"/>
      <c r="AF18" s="25">
        <f>IF(AF22="","",(IFERROR(VALUE(LEFT(AF45,1)),0))/4)</f>
        <v/>
      </c>
      <c r="AG18" s="13" t="n"/>
      <c r="AH18" s="25">
        <f>IF(AH22="","",(IFERROR(VALUE(LEFT(AH45,1)),0))/4)</f>
        <v/>
      </c>
      <c r="AI18" s="13" t="n"/>
      <c r="AJ18" s="25">
        <f>IF(AJ22="","",(IFERROR(VALUE(LEFT(AJ45,1)),0))/4)</f>
        <v/>
      </c>
      <c r="AK18" s="13" t="n"/>
    </row>
    <row r="19" ht="17" customHeight="1">
      <c r="B19" s="26" t="inlineStr">
        <is>
          <t>Partnership</t>
        </is>
      </c>
      <c r="F19" s="25">
        <f>IF(F22="","",(IFERROR(VALUE(LEFT(F48,1)),0))/4)</f>
        <v/>
      </c>
      <c r="G19" s="13" t="n"/>
      <c r="H19" s="25">
        <f>IF(H22="","",(IFERROR(VALUE(LEFT(H48,1)),0))/4)</f>
        <v/>
      </c>
      <c r="I19" s="13" t="n"/>
      <c r="J19" s="25">
        <f>IF(J22="","",(IFERROR(VALUE(LEFT(J48,1)),0))/4)</f>
        <v/>
      </c>
      <c r="K19" s="13" t="n"/>
      <c r="L19" s="25">
        <f>IF(L22="","",(IFERROR(VALUE(LEFT(L48,1)),0))/4)</f>
        <v/>
      </c>
      <c r="M19" s="13" t="n"/>
      <c r="N19" s="25">
        <f>IF(N22="","",(IFERROR(VALUE(LEFT(N48,1)),0))/4)</f>
        <v/>
      </c>
      <c r="O19" s="13" t="n"/>
      <c r="P19" s="25">
        <f>IF(P22="","",(IFERROR(VALUE(LEFT(P48,1)),0))/4)</f>
        <v/>
      </c>
      <c r="Q19" s="13" t="n"/>
      <c r="R19" s="25">
        <f>IF(R22="","",(IFERROR(VALUE(LEFT(R48,1)),0))/4)</f>
        <v/>
      </c>
      <c r="S19" s="13" t="n"/>
      <c r="T19" s="25">
        <f>IF(T22="","",(IFERROR(VALUE(LEFT(T48,1)),0))/4)</f>
        <v/>
      </c>
      <c r="U19" s="13" t="n"/>
      <c r="V19" s="25">
        <f>IF(V22="","",(IFERROR(VALUE(LEFT(V48,1)),0))/4)</f>
        <v/>
      </c>
      <c r="W19" s="13" t="n"/>
      <c r="X19" s="25">
        <f>IF(X22="","",(IFERROR(VALUE(LEFT(X48,1)),0))/4)</f>
        <v/>
      </c>
      <c r="Y19" s="13" t="n"/>
      <c r="Z19" s="25">
        <f>IF(Z22="","",(IFERROR(VALUE(LEFT(Z48,1)),0))/4)</f>
        <v/>
      </c>
      <c r="AA19" s="13" t="n"/>
      <c r="AB19" s="25">
        <f>IF(AB22="","",(IFERROR(VALUE(LEFT(AB48,1)),0))/4)</f>
        <v/>
      </c>
      <c r="AC19" s="13" t="n"/>
      <c r="AD19" s="25">
        <f>IF(AD22="","",(IFERROR(VALUE(LEFT(AD48,1)),0))/4)</f>
        <v/>
      </c>
      <c r="AE19" s="13" t="n"/>
      <c r="AF19" s="25">
        <f>IF(AF22="","",(IFERROR(VALUE(LEFT(AF48,1)),0))/4)</f>
        <v/>
      </c>
      <c r="AG19" s="13" t="n"/>
      <c r="AH19" s="25">
        <f>IF(AH22="","",(IFERROR(VALUE(LEFT(AH48,1)),0))/4)</f>
        <v/>
      </c>
      <c r="AI19" s="13" t="n"/>
      <c r="AJ19" s="25">
        <f>IF(AJ22="","",(IFERROR(VALUE(LEFT(AJ48,1)),0))/4)</f>
        <v/>
      </c>
      <c r="AK19" s="13" t="n"/>
    </row>
    <row r="21" ht="21" customHeight="1">
      <c r="B21" s="27" t="inlineStr">
        <is>
          <t>A  ·  COMPANY AND PRODUCT</t>
        </is>
      </c>
    </row>
    <row r="22" ht="30" customHeight="1">
      <c r="B22" s="28" t="inlineStr">
        <is>
          <t>A1</t>
        </is>
      </c>
      <c r="C22" s="29" t="inlineStr">
        <is>
          <t>Home Care Home Base integration</t>
        </is>
      </c>
      <c r="D22" s="30" t="inlineStr">
        <is>
          <t>Pick the line that matches their answer</t>
        </is>
      </c>
      <c r="E22" s="31">
        <f>'Start Here'!$C$10</f>
        <v/>
      </c>
      <c r="F22" s="32" t="n"/>
      <c r="G22" s="33" t="n"/>
      <c r="H22" s="32" t="n"/>
      <c r="I22" s="33" t="n"/>
      <c r="J22" s="32" t="n"/>
      <c r="K22" s="33" t="n"/>
      <c r="L22" s="32" t="n"/>
      <c r="M22" s="33" t="n"/>
      <c r="N22" s="32" t="n"/>
      <c r="O22" s="33" t="n"/>
      <c r="P22" s="32" t="n"/>
      <c r="Q22" s="33" t="n"/>
      <c r="R22" s="32" t="n"/>
      <c r="S22" s="33" t="n"/>
      <c r="T22" s="32" t="n"/>
      <c r="U22" s="33" t="n"/>
      <c r="V22" s="32" t="n"/>
      <c r="W22" s="33" t="n"/>
      <c r="X22" s="32" t="n"/>
      <c r="Y22" s="33" t="n"/>
      <c r="Z22" s="32" t="n"/>
      <c r="AA22" s="33" t="n"/>
      <c r="AB22" s="32" t="n"/>
      <c r="AC22" s="33" t="n"/>
      <c r="AD22" s="32" t="n"/>
      <c r="AE22" s="33" t="n"/>
      <c r="AF22" s="32" t="n"/>
      <c r="AG22" s="33" t="n"/>
      <c r="AH22" s="32" t="n"/>
      <c r="AI22" s="33" t="n"/>
      <c r="AJ22" s="32" t="n"/>
      <c r="AK22" s="33" t="n"/>
    </row>
    <row r="23" ht="24" customHeight="1">
      <c r="B23" s="34" t="inlineStr">
        <is>
          <t>A2</t>
        </is>
      </c>
      <c r="C23" s="35" t="inlineStr">
        <is>
          <t>Customers, scale and references</t>
        </is>
      </c>
      <c r="D23" s="36" t="inlineStr">
        <is>
          <t>Stop-check if one customer, or no references offered</t>
        </is>
      </c>
      <c r="E23" s="37" t="n"/>
      <c r="F23" s="38" t="n"/>
      <c r="G23" s="39" t="n"/>
      <c r="H23" s="38" t="n"/>
      <c r="I23" s="39" t="n"/>
      <c r="J23" s="38" t="n"/>
      <c r="K23" s="39" t="n"/>
      <c r="L23" s="38" t="n"/>
      <c r="M23" s="39" t="n"/>
      <c r="N23" s="38" t="n"/>
      <c r="O23" s="39" t="n"/>
      <c r="P23" s="38" t="n"/>
      <c r="Q23" s="39" t="n"/>
      <c r="R23" s="38" t="n"/>
      <c r="S23" s="39" t="n"/>
      <c r="T23" s="38" t="n"/>
      <c r="U23" s="39" t="n"/>
      <c r="V23" s="38" t="n"/>
      <c r="W23" s="39" t="n"/>
      <c r="X23" s="38" t="n"/>
      <c r="Y23" s="39" t="n"/>
      <c r="Z23" s="38" t="n"/>
      <c r="AA23" s="39" t="n"/>
      <c r="AB23" s="38" t="n"/>
      <c r="AC23" s="39" t="n"/>
      <c r="AD23" s="38" t="n"/>
      <c r="AE23" s="39" t="n"/>
      <c r="AF23" s="38" t="n"/>
      <c r="AG23" s="39" t="n"/>
      <c r="AH23" s="38" t="n"/>
      <c r="AI23" s="39" t="n"/>
      <c r="AJ23" s="38" t="n"/>
      <c r="AK23" s="39" t="n"/>
    </row>
    <row r="24" ht="24" customHeight="1">
      <c r="B24" s="34" t="inlineStr">
        <is>
          <t>A3</t>
        </is>
      </c>
      <c r="C24" s="35" t="inlineStr">
        <is>
          <t>Measured impact</t>
        </is>
      </c>
      <c r="D24" s="36" t="inlineStr">
        <is>
          <t>Watch if claimed with no baseline or period</t>
        </is>
      </c>
      <c r="E24" s="37" t="n"/>
      <c r="F24" s="38" t="n"/>
      <c r="G24" s="39" t="n"/>
      <c r="H24" s="38" t="n"/>
      <c r="I24" s="39" t="n"/>
      <c r="J24" s="38" t="n"/>
      <c r="K24" s="39" t="n"/>
      <c r="L24" s="38" t="n"/>
      <c r="M24" s="39" t="n"/>
      <c r="N24" s="38" t="n"/>
      <c r="O24" s="39" t="n"/>
      <c r="P24" s="38" t="n"/>
      <c r="Q24" s="39" t="n"/>
      <c r="R24" s="38" t="n"/>
      <c r="S24" s="39" t="n"/>
      <c r="T24" s="38" t="n"/>
      <c r="U24" s="39" t="n"/>
      <c r="V24" s="38" t="n"/>
      <c r="W24" s="39" t="n"/>
      <c r="X24" s="38" t="n"/>
      <c r="Y24" s="39" t="n"/>
      <c r="Z24" s="38" t="n"/>
      <c r="AA24" s="39" t="n"/>
      <c r="AB24" s="38" t="n"/>
      <c r="AC24" s="39" t="n"/>
      <c r="AD24" s="38" t="n"/>
      <c r="AE24" s="39" t="n"/>
      <c r="AF24" s="38" t="n"/>
      <c r="AG24" s="39" t="n"/>
      <c r="AH24" s="38" t="n"/>
      <c r="AI24" s="39" t="n"/>
      <c r="AJ24" s="38" t="n"/>
      <c r="AK24" s="39" t="n"/>
    </row>
    <row r="26" ht="21" customHeight="1">
      <c r="B26" s="27" t="inlineStr">
        <is>
          <t>B  ·  COVERAGE SELF-ASSESSMENT   —   how much of our scope they cover</t>
        </is>
      </c>
    </row>
    <row r="27" ht="17" customHeight="1">
      <c r="B27" s="40" t="inlineStr">
        <is>
          <t>CAPACITY   —   three marks of 0–4</t>
        </is>
      </c>
    </row>
    <row r="28" ht="24" customHeight="1">
      <c r="B28" s="34" t="inlineStr">
        <is>
          <t>Section B</t>
        </is>
      </c>
      <c r="C28" s="35" t="inlineStr">
        <is>
          <t>Workforce supply</t>
        </is>
      </c>
      <c r="D28" s="36" t="inlineStr">
        <is>
          <t>Roster, disciplines, roles, competencies, ramp, float pool</t>
        </is>
      </c>
      <c r="E28" s="41">
        <f>'Start Here'!$C$11</f>
        <v/>
      </c>
      <c r="F28" s="38" t="n"/>
      <c r="G28" s="39" t="n"/>
      <c r="H28" s="38" t="n"/>
      <c r="I28" s="39" t="n"/>
      <c r="J28" s="38" t="n"/>
      <c r="K28" s="39" t="n"/>
      <c r="L28" s="38" t="n"/>
      <c r="M28" s="39" t="n"/>
      <c r="N28" s="38" t="n"/>
      <c r="O28" s="39" t="n"/>
      <c r="P28" s="38" t="n"/>
      <c r="Q28" s="39" t="n"/>
      <c r="R28" s="38" t="n"/>
      <c r="S28" s="39" t="n"/>
      <c r="T28" s="38" t="n"/>
      <c r="U28" s="39" t="n"/>
      <c r="V28" s="38" t="n"/>
      <c r="W28" s="39" t="n"/>
      <c r="X28" s="38" t="n"/>
      <c r="Y28" s="39" t="n"/>
      <c r="Z28" s="38" t="n"/>
      <c r="AA28" s="39" t="n"/>
      <c r="AB28" s="38" t="n"/>
      <c r="AC28" s="39" t="n"/>
      <c r="AD28" s="38" t="n"/>
      <c r="AE28" s="39" t="n"/>
      <c r="AF28" s="38" t="n"/>
      <c r="AG28" s="39" t="n"/>
      <c r="AH28" s="38" t="n"/>
      <c r="AI28" s="39" t="n"/>
      <c r="AJ28" s="38" t="n"/>
      <c r="AK28" s="39" t="n"/>
    </row>
    <row r="29" ht="24" customHeight="1">
      <c r="B29" s="34" t="inlineStr">
        <is>
          <t>Section B</t>
        </is>
      </c>
      <c r="C29" s="35" t="inlineStr">
        <is>
          <t>Availability &amp; reach</t>
        </is>
      </c>
      <c r="D29" s="36" t="inlineStr">
        <is>
          <t>Availability and time off, territory, drive-time reachability</t>
        </is>
      </c>
      <c r="F29" s="38" t="n"/>
      <c r="G29" s="39" t="n"/>
      <c r="H29" s="38" t="n"/>
      <c r="I29" s="39" t="n"/>
      <c r="J29" s="38" t="n"/>
      <c r="K29" s="39" t="n"/>
      <c r="L29" s="38" t="n"/>
      <c r="M29" s="39" t="n"/>
      <c r="N29" s="38" t="n"/>
      <c r="O29" s="39" t="n"/>
      <c r="P29" s="38" t="n"/>
      <c r="Q29" s="39" t="n"/>
      <c r="R29" s="38" t="n"/>
      <c r="S29" s="39" t="n"/>
      <c r="T29" s="38" t="n"/>
      <c r="U29" s="39" t="n"/>
      <c r="V29" s="38" t="n"/>
      <c r="W29" s="39" t="n"/>
      <c r="X29" s="38" t="n"/>
      <c r="Y29" s="39" t="n"/>
      <c r="Z29" s="38" t="n"/>
      <c r="AA29" s="39" t="n"/>
      <c r="AB29" s="38" t="n"/>
      <c r="AC29" s="39" t="n"/>
      <c r="AD29" s="38" t="n"/>
      <c r="AE29" s="39" t="n"/>
      <c r="AF29" s="38" t="n"/>
      <c r="AG29" s="39" t="n"/>
      <c r="AH29" s="38" t="n"/>
      <c r="AI29" s="39" t="n"/>
      <c r="AJ29" s="38" t="n"/>
      <c r="AK29" s="39" t="n"/>
    </row>
    <row r="30" ht="24" customHeight="1">
      <c r="B30" s="34" t="inlineStr">
        <is>
          <t>Section B</t>
        </is>
      </c>
      <c r="C30" s="35" t="inlineStr">
        <is>
          <t>The capacity math</t>
        </is>
      </c>
      <c r="D30" s="36" t="inlineStr">
        <is>
          <t>Visit weighting, targets and ceilings, committed load vs. open room</t>
        </is>
      </c>
      <c r="F30" s="38" t="n"/>
      <c r="G30" s="39" t="n"/>
      <c r="H30" s="38" t="n"/>
      <c r="I30" s="39" t="n"/>
      <c r="J30" s="38" t="n"/>
      <c r="K30" s="39" t="n"/>
      <c r="L30" s="38" t="n"/>
      <c r="M30" s="39" t="n"/>
      <c r="N30" s="38" t="n"/>
      <c r="O30" s="39" t="n"/>
      <c r="P30" s="38" t="n"/>
      <c r="Q30" s="39" t="n"/>
      <c r="R30" s="38" t="n"/>
      <c r="S30" s="39" t="n"/>
      <c r="T30" s="38" t="n"/>
      <c r="U30" s="39" t="n"/>
      <c r="V30" s="38" t="n"/>
      <c r="W30" s="39" t="n"/>
      <c r="X30" s="38" t="n"/>
      <c r="Y30" s="39" t="n"/>
      <c r="Z30" s="38" t="n"/>
      <c r="AA30" s="39" t="n"/>
      <c r="AB30" s="38" t="n"/>
      <c r="AC30" s="39" t="n"/>
      <c r="AD30" s="38" t="n"/>
      <c r="AE30" s="39" t="n"/>
      <c r="AF30" s="38" t="n"/>
      <c r="AG30" s="39" t="n"/>
      <c r="AH30" s="38" t="n"/>
      <c r="AI30" s="39" t="n"/>
      <c r="AJ30" s="38" t="n"/>
      <c r="AK30" s="39" t="n"/>
    </row>
    <row r="31" ht="17" customHeight="1">
      <c r="B31" s="42" t="inlineStr">
        <is>
          <t>SCHEDULING   —   three marks of 0–4</t>
        </is>
      </c>
    </row>
    <row r="32" ht="24" customHeight="1">
      <c r="B32" s="28" t="inlineStr">
        <is>
          <t>Section B</t>
        </is>
      </c>
      <c r="C32" s="29" t="inlineStr">
        <is>
          <t>Demand &amp; matching</t>
        </is>
      </c>
      <c r="D32" s="30" t="inlineStr">
        <is>
          <t>Ordered visits, authorization, readiness — and who fits them</t>
        </is>
      </c>
      <c r="E32" s="43">
        <f>'Start Here'!$C$12</f>
        <v/>
      </c>
      <c r="F32" s="32" t="n"/>
      <c r="G32" s="33" t="n"/>
      <c r="H32" s="32" t="n"/>
      <c r="I32" s="33" t="n"/>
      <c r="J32" s="32" t="n"/>
      <c r="K32" s="33" t="n"/>
      <c r="L32" s="32" t="n"/>
      <c r="M32" s="33" t="n"/>
      <c r="N32" s="32" t="n"/>
      <c r="O32" s="33" t="n"/>
      <c r="P32" s="32" t="n"/>
      <c r="Q32" s="33" t="n"/>
      <c r="R32" s="32" t="n"/>
      <c r="S32" s="33" t="n"/>
      <c r="T32" s="32" t="n"/>
      <c r="U32" s="33" t="n"/>
      <c r="V32" s="32" t="n"/>
      <c r="W32" s="33" t="n"/>
      <c r="X32" s="32" t="n"/>
      <c r="Y32" s="33" t="n"/>
      <c r="Z32" s="32" t="n"/>
      <c r="AA32" s="33" t="n"/>
      <c r="AB32" s="32" t="n"/>
      <c r="AC32" s="33" t="n"/>
      <c r="AD32" s="32" t="n"/>
      <c r="AE32" s="33" t="n"/>
      <c r="AF32" s="32" t="n"/>
      <c r="AG32" s="33" t="n"/>
      <c r="AH32" s="32" t="n"/>
      <c r="AI32" s="33" t="n"/>
      <c r="AJ32" s="32" t="n"/>
      <c r="AK32" s="33" t="n"/>
    </row>
    <row r="33" ht="24" customHeight="1">
      <c r="B33" s="28" t="inlineStr">
        <is>
          <t>Section B</t>
        </is>
      </c>
      <c r="C33" s="29" t="inlineStr">
        <is>
          <t>Routing &amp; the week</t>
        </is>
      </c>
      <c r="D33" s="30" t="inlineStr">
        <is>
          <t>Routing, sequencing, front-loading, week balancing</t>
        </is>
      </c>
      <c r="F33" s="32" t="n"/>
      <c r="G33" s="33" t="n"/>
      <c r="H33" s="32" t="n"/>
      <c r="I33" s="33" t="n"/>
      <c r="J33" s="32" t="n"/>
      <c r="K33" s="33" t="n"/>
      <c r="L33" s="32" t="n"/>
      <c r="M33" s="33" t="n"/>
      <c r="N33" s="32" t="n"/>
      <c r="O33" s="33" t="n"/>
      <c r="P33" s="32" t="n"/>
      <c r="Q33" s="33" t="n"/>
      <c r="R33" s="32" t="n"/>
      <c r="S33" s="33" t="n"/>
      <c r="T33" s="32" t="n"/>
      <c r="U33" s="33" t="n"/>
      <c r="V33" s="32" t="n"/>
      <c r="W33" s="33" t="n"/>
      <c r="X33" s="32" t="n"/>
      <c r="Y33" s="33" t="n"/>
      <c r="Z33" s="32" t="n"/>
      <c r="AA33" s="33" t="n"/>
      <c r="AB33" s="32" t="n"/>
      <c r="AC33" s="33" t="n"/>
      <c r="AD33" s="32" t="n"/>
      <c r="AE33" s="33" t="n"/>
      <c r="AF33" s="32" t="n"/>
      <c r="AG33" s="33" t="n"/>
      <c r="AH33" s="32" t="n"/>
      <c r="AI33" s="33" t="n"/>
      <c r="AJ33" s="32" t="n"/>
      <c r="AK33" s="33" t="n"/>
    </row>
    <row r="34" ht="24" customHeight="1">
      <c r="B34" s="28" t="inlineStr">
        <is>
          <t>Section B</t>
        </is>
      </c>
      <c r="C34" s="29" t="inlineStr">
        <is>
          <t>Exceptions</t>
        </is>
      </c>
      <c r="D34" s="30" t="inlineStr">
        <is>
          <t>Missed visits, call-outs, reassignment, coverage, rebooking</t>
        </is>
      </c>
      <c r="F34" s="32" t="n"/>
      <c r="G34" s="33" t="n"/>
      <c r="H34" s="32" t="n"/>
      <c r="I34" s="33" t="n"/>
      <c r="J34" s="32" t="n"/>
      <c r="K34" s="33" t="n"/>
      <c r="L34" s="32" t="n"/>
      <c r="M34" s="33" t="n"/>
      <c r="N34" s="32" t="n"/>
      <c r="O34" s="33" t="n"/>
      <c r="P34" s="32" t="n"/>
      <c r="Q34" s="33" t="n"/>
      <c r="R34" s="32" t="n"/>
      <c r="S34" s="33" t="n"/>
      <c r="T34" s="32" t="n"/>
      <c r="U34" s="33" t="n"/>
      <c r="V34" s="32" t="n"/>
      <c r="W34" s="33" t="n"/>
      <c r="X34" s="32" t="n"/>
      <c r="Y34" s="33" t="n"/>
      <c r="Z34" s="32" t="n"/>
      <c r="AA34" s="33" t="n"/>
      <c r="AB34" s="32" t="n"/>
      <c r="AC34" s="33" t="n"/>
      <c r="AD34" s="32" t="n"/>
      <c r="AE34" s="33" t="n"/>
      <c r="AF34" s="32" t="n"/>
      <c r="AG34" s="33" t="n"/>
      <c r="AH34" s="32" t="n"/>
      <c r="AI34" s="33" t="n"/>
      <c r="AJ34" s="32" t="n"/>
      <c r="AK34" s="33" t="n"/>
    </row>
    <row r="35" ht="17" customHeight="1">
      <c r="B35" s="44" t="inlineStr">
        <is>
          <t>ENGAGEMENT   —   three marks of 0–4</t>
        </is>
      </c>
    </row>
    <row r="36" ht="24" customHeight="1">
      <c r="B36" s="34" t="inlineStr">
        <is>
          <t>Section B</t>
        </is>
      </c>
      <c r="C36" s="35" t="inlineStr">
        <is>
          <t>Before the visit</t>
        </is>
      </c>
      <c r="D36" s="36" t="inlineStr">
        <is>
          <t>Welcome call, availability capture, reminders, confirmation, en-route</t>
        </is>
      </c>
      <c r="E36" s="45">
        <f>'Start Here'!$C$13</f>
        <v/>
      </c>
      <c r="F36" s="38" t="n"/>
      <c r="G36" s="39" t="n"/>
      <c r="H36" s="38" t="n"/>
      <c r="I36" s="39" t="n"/>
      <c r="J36" s="38" t="n"/>
      <c r="K36" s="39" t="n"/>
      <c r="L36" s="38" t="n"/>
      <c r="M36" s="39" t="n"/>
      <c r="N36" s="38" t="n"/>
      <c r="O36" s="39" t="n"/>
      <c r="P36" s="38" t="n"/>
      <c r="Q36" s="39" t="n"/>
      <c r="R36" s="38" t="n"/>
      <c r="S36" s="39" t="n"/>
      <c r="T36" s="38" t="n"/>
      <c r="U36" s="39" t="n"/>
      <c r="V36" s="38" t="n"/>
      <c r="W36" s="39" t="n"/>
      <c r="X36" s="38" t="n"/>
      <c r="Y36" s="39" t="n"/>
      <c r="Z36" s="38" t="n"/>
      <c r="AA36" s="39" t="n"/>
      <c r="AB36" s="38" t="n"/>
      <c r="AC36" s="39" t="n"/>
      <c r="AD36" s="38" t="n"/>
      <c r="AE36" s="39" t="n"/>
      <c r="AF36" s="38" t="n"/>
      <c r="AG36" s="39" t="n"/>
      <c r="AH36" s="38" t="n"/>
      <c r="AI36" s="39" t="n"/>
      <c r="AJ36" s="38" t="n"/>
      <c r="AK36" s="39" t="n"/>
    </row>
    <row r="37" ht="24" customHeight="1">
      <c r="B37" s="34" t="inlineStr">
        <is>
          <t>Section B</t>
        </is>
      </c>
      <c r="C37" s="35" t="inlineStr">
        <is>
          <t>When plans change</t>
        </is>
      </c>
      <c r="D37" s="36" t="inlineStr">
        <is>
          <t>Reschedule, coverage outreach, urgent same-day needs, incentives</t>
        </is>
      </c>
      <c r="F37" s="38" t="n"/>
      <c r="G37" s="39" t="n"/>
      <c r="H37" s="38" t="n"/>
      <c r="I37" s="39" t="n"/>
      <c r="J37" s="38" t="n"/>
      <c r="K37" s="39" t="n"/>
      <c r="L37" s="38" t="n"/>
      <c r="M37" s="39" t="n"/>
      <c r="N37" s="38" t="n"/>
      <c r="O37" s="39" t="n"/>
      <c r="P37" s="38" t="n"/>
      <c r="Q37" s="39" t="n"/>
      <c r="R37" s="38" t="n"/>
      <c r="S37" s="39" t="n"/>
      <c r="T37" s="38" t="n"/>
      <c r="U37" s="39" t="n"/>
      <c r="V37" s="38" t="n"/>
      <c r="W37" s="39" t="n"/>
      <c r="X37" s="38" t="n"/>
      <c r="Y37" s="39" t="n"/>
      <c r="Z37" s="38" t="n"/>
      <c r="AA37" s="39" t="n"/>
      <c r="AB37" s="38" t="n"/>
      <c r="AC37" s="39" t="n"/>
      <c r="AD37" s="38" t="n"/>
      <c r="AE37" s="39" t="n"/>
      <c r="AF37" s="38" t="n"/>
      <c r="AG37" s="39" t="n"/>
      <c r="AH37" s="38" t="n"/>
      <c r="AI37" s="39" t="n"/>
      <c r="AJ37" s="38" t="n"/>
      <c r="AK37" s="39" t="n"/>
    </row>
    <row r="38" ht="24" customHeight="1">
      <c r="B38" s="34" t="inlineStr">
        <is>
          <t>Section B</t>
        </is>
      </c>
      <c r="C38" s="35" t="inlineStr">
        <is>
          <t>Across the care team</t>
        </is>
      </c>
      <c r="D38" s="36" t="inlineStr">
        <is>
          <t>Multi-discipline coordination, clinician and office updates</t>
        </is>
      </c>
      <c r="F38" s="38" t="n"/>
      <c r="G38" s="39" t="n"/>
      <c r="H38" s="38" t="n"/>
      <c r="I38" s="39" t="n"/>
      <c r="J38" s="38" t="n"/>
      <c r="K38" s="39" t="n"/>
      <c r="L38" s="38" t="n"/>
      <c r="M38" s="39" t="n"/>
      <c r="N38" s="38" t="n"/>
      <c r="O38" s="39" t="n"/>
      <c r="P38" s="38" t="n"/>
      <c r="Q38" s="39" t="n"/>
      <c r="R38" s="38" t="n"/>
      <c r="S38" s="39" t="n"/>
      <c r="T38" s="38" t="n"/>
      <c r="U38" s="39" t="n"/>
      <c r="V38" s="38" t="n"/>
      <c r="W38" s="39" t="n"/>
      <c r="X38" s="38" t="n"/>
      <c r="Y38" s="39" t="n"/>
      <c r="Z38" s="38" t="n"/>
      <c r="AA38" s="39" t="n"/>
      <c r="AB38" s="38" t="n"/>
      <c r="AC38" s="39" t="n"/>
      <c r="AD38" s="38" t="n"/>
      <c r="AE38" s="39" t="n"/>
      <c r="AF38" s="38" t="n"/>
      <c r="AG38" s="39" t="n"/>
      <c r="AH38" s="38" t="n"/>
      <c r="AI38" s="39" t="n"/>
      <c r="AJ38" s="38" t="n"/>
      <c r="AK38" s="39" t="n"/>
    </row>
    <row r="40" ht="21" customHeight="1">
      <c r="B40" s="27" t="inlineStr">
        <is>
          <t>C  ·  HOW YOUR PRODUCT WORKS</t>
        </is>
      </c>
    </row>
    <row r="41" ht="26" customHeight="1">
      <c r="B41" s="28" t="inlineStr">
        <is>
          <t>Section C</t>
        </is>
      </c>
      <c r="C41" s="29" t="inlineStr">
        <is>
          <t>Sophistication</t>
        </is>
      </c>
      <c r="D41" s="30" t="inlineStr">
        <is>
          <t>How much of the work the product does</t>
        </is>
      </c>
      <c r="E41" s="46">
        <f>'Start Here'!$C$14</f>
        <v/>
      </c>
      <c r="F41" s="32" t="n"/>
      <c r="G41" s="33" t="n"/>
      <c r="H41" s="32" t="n"/>
      <c r="I41" s="33" t="n"/>
      <c r="J41" s="32" t="n"/>
      <c r="K41" s="33" t="n"/>
      <c r="L41" s="32" t="n"/>
      <c r="M41" s="33" t="n"/>
      <c r="N41" s="32" t="n"/>
      <c r="O41" s="33" t="n"/>
      <c r="P41" s="32" t="n"/>
      <c r="Q41" s="33" t="n"/>
      <c r="R41" s="32" t="n"/>
      <c r="S41" s="33" t="n"/>
      <c r="T41" s="32" t="n"/>
      <c r="U41" s="33" t="n"/>
      <c r="V41" s="32" t="n"/>
      <c r="W41" s="33" t="n"/>
      <c r="X41" s="32" t="n"/>
      <c r="Y41" s="33" t="n"/>
      <c r="Z41" s="32" t="n"/>
      <c r="AA41" s="33" t="n"/>
      <c r="AB41" s="32" t="n"/>
      <c r="AC41" s="33" t="n"/>
      <c r="AD41" s="32" t="n"/>
      <c r="AE41" s="33" t="n"/>
      <c r="AF41" s="32" t="n"/>
      <c r="AG41" s="33" t="n"/>
      <c r="AH41" s="32" t="n"/>
      <c r="AI41" s="33" t="n"/>
      <c r="AJ41" s="32" t="n"/>
      <c r="AK41" s="33" t="n"/>
    </row>
    <row r="42" ht="24" customHeight="1">
      <c r="B42" s="34" t="inlineStr">
        <is>
          <t>C6</t>
        </is>
      </c>
      <c r="C42" s="35" t="inlineStr">
        <is>
          <t>When your product is down</t>
        </is>
      </c>
      <c r="D42" s="36" t="inlineStr">
        <is>
          <t>Stop-check if no uptime figure or contractual commitment</t>
        </is>
      </c>
      <c r="E42" s="37" t="n"/>
      <c r="F42" s="38" t="n"/>
      <c r="G42" s="39" t="n"/>
      <c r="H42" s="38" t="n"/>
      <c r="I42" s="39" t="n"/>
      <c r="J42" s="38" t="n"/>
      <c r="K42" s="39" t="n"/>
      <c r="L42" s="38" t="n"/>
      <c r="M42" s="39" t="n"/>
      <c r="N42" s="38" t="n"/>
      <c r="O42" s="39" t="n"/>
      <c r="P42" s="38" t="n"/>
      <c r="Q42" s="39" t="n"/>
      <c r="R42" s="38" t="n"/>
      <c r="S42" s="39" t="n"/>
      <c r="T42" s="38" t="n"/>
      <c r="U42" s="39" t="n"/>
      <c r="V42" s="38" t="n"/>
      <c r="W42" s="39" t="n"/>
      <c r="X42" s="38" t="n"/>
      <c r="Y42" s="39" t="n"/>
      <c r="Z42" s="38" t="n"/>
      <c r="AA42" s="39" t="n"/>
      <c r="AB42" s="38" t="n"/>
      <c r="AC42" s="39" t="n"/>
      <c r="AD42" s="38" t="n"/>
      <c r="AE42" s="39" t="n"/>
      <c r="AF42" s="38" t="n"/>
      <c r="AG42" s="39" t="n"/>
      <c r="AH42" s="38" t="n"/>
      <c r="AI42" s="39" t="n"/>
      <c r="AJ42" s="38" t="n"/>
      <c r="AK42" s="39" t="n"/>
    </row>
    <row r="44" ht="21" customHeight="1">
      <c r="B44" s="27" t="inlineStr">
        <is>
          <t>D  ·  THE CLINICIAN'S PLACE IN THE MODEL</t>
        </is>
      </c>
    </row>
    <row r="45" ht="26" customHeight="1">
      <c r="B45" s="28" t="inlineStr">
        <is>
          <t>D1–D3</t>
        </is>
      </c>
      <c r="C45" s="29" t="inlineStr">
        <is>
          <t>Clinician fit</t>
        </is>
      </c>
      <c r="D45" s="30" t="inlineStr">
        <is>
          <t>Our own read of fit — no checklist, on purpose</t>
        </is>
      </c>
      <c r="E45" s="47">
        <f>'Start Here'!$C$15</f>
        <v/>
      </c>
      <c r="F45" s="32" t="n"/>
      <c r="G45" s="33" t="n"/>
      <c r="H45" s="32" t="n"/>
      <c r="I45" s="33" t="n"/>
      <c r="J45" s="32" t="n"/>
      <c r="K45" s="33" t="n"/>
      <c r="L45" s="32" t="n"/>
      <c r="M45" s="33" t="n"/>
      <c r="N45" s="32" t="n"/>
      <c r="O45" s="33" t="n"/>
      <c r="P45" s="32" t="n"/>
      <c r="Q45" s="33" t="n"/>
      <c r="R45" s="32" t="n"/>
      <c r="S45" s="33" t="n"/>
      <c r="T45" s="32" t="n"/>
      <c r="U45" s="33" t="n"/>
      <c r="V45" s="32" t="n"/>
      <c r="W45" s="33" t="n"/>
      <c r="X45" s="32" t="n"/>
      <c r="Y45" s="33" t="n"/>
      <c r="Z45" s="32" t="n"/>
      <c r="AA45" s="33" t="n"/>
      <c r="AB45" s="32" t="n"/>
      <c r="AC45" s="33" t="n"/>
      <c r="AD45" s="32" t="n"/>
      <c r="AE45" s="33" t="n"/>
      <c r="AF45" s="32" t="n"/>
      <c r="AG45" s="33" t="n"/>
      <c r="AH45" s="32" t="n"/>
      <c r="AI45" s="33" t="n"/>
      <c r="AJ45" s="32" t="n"/>
      <c r="AK45" s="33" t="n"/>
    </row>
    <row r="47" ht="21" customHeight="1">
      <c r="B47" s="27" t="inlineStr">
        <is>
          <t>E  ·  FIT AND PARTNERSHIP</t>
        </is>
      </c>
    </row>
    <row r="48" ht="40" customHeight="1">
      <c r="B48" s="28" t="inlineStr">
        <is>
          <t>E1–E4</t>
        </is>
      </c>
      <c r="C48" s="29" t="inlineStr">
        <is>
          <t>Partnership</t>
        </is>
      </c>
      <c r="D48" s="30" t="inlineStr">
        <is>
          <t>Willing to build it with us, and open to a stake</t>
        </is>
      </c>
      <c r="E48" s="47">
        <f>'Start Here'!$C$16</f>
        <v/>
      </c>
      <c r="F48" s="32" t="n"/>
      <c r="G48" s="33" t="n"/>
      <c r="H48" s="32" t="n"/>
      <c r="I48" s="33" t="n"/>
      <c r="J48" s="32" t="n"/>
      <c r="K48" s="33" t="n"/>
      <c r="L48" s="32" t="n"/>
      <c r="M48" s="33" t="n"/>
      <c r="N48" s="32" t="n"/>
      <c r="O48" s="33" t="n"/>
      <c r="P48" s="32" t="n"/>
      <c r="Q48" s="33" t="n"/>
      <c r="R48" s="32" t="n"/>
      <c r="S48" s="33" t="n"/>
      <c r="T48" s="32" t="n"/>
      <c r="U48" s="33" t="n"/>
      <c r="V48" s="32" t="n"/>
      <c r="W48" s="33" t="n"/>
      <c r="X48" s="32" t="n"/>
      <c r="Y48" s="33" t="n"/>
      <c r="Z48" s="32" t="n"/>
      <c r="AA48" s="33" t="n"/>
      <c r="AB48" s="32" t="n"/>
      <c r="AC48" s="33" t="n"/>
      <c r="AD48" s="32" t="n"/>
      <c r="AE48" s="33" t="n"/>
      <c r="AF48" s="32" t="n"/>
      <c r="AG48" s="33" t="n"/>
      <c r="AH48" s="32" t="n"/>
      <c r="AI48" s="33" t="n"/>
      <c r="AJ48" s="32" t="n"/>
      <c r="AK48" s="33" t="n"/>
    </row>
    <row r="50" ht="21" customHeight="1">
      <c r="B50" s="18" t="inlineStr">
        <is>
          <t>INTANGIBLES   —   no points.  Strong, Neutral or Concern, and why.</t>
        </is>
      </c>
    </row>
    <row r="51" ht="26" customHeight="1">
      <c r="B51" s="3" t="inlineStr">
        <is>
          <t xml:space="preserve">    Fill these after the scored sections, and let them contradict the number if that is what you see. Write the reason and your initials — in the working session someone will ask what specifically gave you that read.</t>
        </is>
      </c>
    </row>
    <row r="52" ht="28" customHeight="1">
      <c r="B52" s="34" t="inlineStr">
        <is>
          <t>Feel</t>
        </is>
      </c>
      <c r="C52" s="35" t="inlineStr">
        <is>
          <t>Home health fluency</t>
        </is>
      </c>
      <c r="D52" s="36" t="inlineStr">
        <is>
          <t>Do these read like people who have stood in a branch? Unprompted vocabulary, problems they raise that we did not ask about.</t>
        </is>
      </c>
      <c r="E52" s="37" t="n"/>
      <c r="F52" s="38" t="n"/>
      <c r="G52" s="39" t="n"/>
      <c r="H52" s="38" t="n"/>
      <c r="I52" s="39" t="n"/>
      <c r="J52" s="38" t="n"/>
      <c r="K52" s="39" t="n"/>
      <c r="L52" s="38" t="n"/>
      <c r="M52" s="39" t="n"/>
      <c r="N52" s="38" t="n"/>
      <c r="O52" s="39" t="n"/>
      <c r="P52" s="38" t="n"/>
      <c r="Q52" s="39" t="n"/>
      <c r="R52" s="38" t="n"/>
      <c r="S52" s="39" t="n"/>
      <c r="T52" s="38" t="n"/>
      <c r="U52" s="39" t="n"/>
      <c r="V52" s="38" t="n"/>
      <c r="W52" s="39" t="n"/>
      <c r="X52" s="38" t="n"/>
      <c r="Y52" s="39" t="n"/>
      <c r="Z52" s="38" t="n"/>
      <c r="AA52" s="39" t="n"/>
      <c r="AB52" s="38" t="n"/>
      <c r="AC52" s="39" t="n"/>
      <c r="AD52" s="38" t="n"/>
      <c r="AE52" s="39" t="n"/>
      <c r="AF52" s="38" t="n"/>
      <c r="AG52" s="39" t="n"/>
      <c r="AH52" s="38" t="n"/>
      <c r="AI52" s="39" t="n"/>
      <c r="AJ52" s="38" t="n"/>
      <c r="AK52" s="39" t="n"/>
    </row>
    <row r="53" ht="28" customHeight="1">
      <c r="B53" s="34" t="inlineStr">
        <is>
          <t>Feel</t>
        </is>
      </c>
      <c r="C53" s="35" t="inlineStr">
        <is>
          <t>Candor about gaps</t>
        </is>
      </c>
      <c r="D53" s="36" t="inlineStr">
        <is>
          <t>Did they say 'we don't do that' anywhere? A vendor who claims everything has told us something.</t>
        </is>
      </c>
      <c r="E53" s="37" t="n"/>
      <c r="F53" s="38" t="n"/>
      <c r="G53" s="39" t="n"/>
      <c r="H53" s="38" t="n"/>
      <c r="I53" s="39" t="n"/>
      <c r="J53" s="38" t="n"/>
      <c r="K53" s="39" t="n"/>
      <c r="L53" s="38" t="n"/>
      <c r="M53" s="39" t="n"/>
      <c r="N53" s="38" t="n"/>
      <c r="O53" s="39" t="n"/>
      <c r="P53" s="38" t="n"/>
      <c r="Q53" s="39" t="n"/>
      <c r="R53" s="38" t="n"/>
      <c r="S53" s="39" t="n"/>
      <c r="T53" s="38" t="n"/>
      <c r="U53" s="39" t="n"/>
      <c r="V53" s="38" t="n"/>
      <c r="W53" s="39" t="n"/>
      <c r="X53" s="38" t="n"/>
      <c r="Y53" s="39" t="n"/>
      <c r="Z53" s="38" t="n"/>
      <c r="AA53" s="39" t="n"/>
      <c r="AB53" s="38" t="n"/>
      <c r="AC53" s="39" t="n"/>
      <c r="AD53" s="38" t="n"/>
      <c r="AE53" s="39" t="n"/>
      <c r="AF53" s="38" t="n"/>
      <c r="AG53" s="39" t="n"/>
      <c r="AH53" s="38" t="n"/>
      <c r="AI53" s="39" t="n"/>
      <c r="AJ53" s="38" t="n"/>
      <c r="AK53" s="39" t="n"/>
    </row>
    <row r="54" ht="28" customHeight="1">
      <c r="B54" s="34" t="inlineStr">
        <is>
          <t>Feel</t>
        </is>
      </c>
      <c r="C54" s="35" t="inlineStr">
        <is>
          <t>Who wrote this</t>
        </is>
      </c>
      <c r="D54" s="36" t="inlineStr">
        <is>
          <t>Marketing, sales engineer, or someone who built it. Specificity, and willingness to name a constraint.</t>
        </is>
      </c>
      <c r="E54" s="37" t="n"/>
      <c r="F54" s="38" t="n"/>
      <c r="G54" s="39" t="n"/>
      <c r="H54" s="38" t="n"/>
      <c r="I54" s="39" t="n"/>
      <c r="J54" s="38" t="n"/>
      <c r="K54" s="39" t="n"/>
      <c r="L54" s="38" t="n"/>
      <c r="M54" s="39" t="n"/>
      <c r="N54" s="38" t="n"/>
      <c r="O54" s="39" t="n"/>
      <c r="P54" s="38" t="n"/>
      <c r="Q54" s="39" t="n"/>
      <c r="R54" s="38" t="n"/>
      <c r="S54" s="39" t="n"/>
      <c r="T54" s="38" t="n"/>
      <c r="U54" s="39" t="n"/>
      <c r="V54" s="38" t="n"/>
      <c r="W54" s="39" t="n"/>
      <c r="X54" s="38" t="n"/>
      <c r="Y54" s="39" t="n"/>
      <c r="Z54" s="38" t="n"/>
      <c r="AA54" s="39" t="n"/>
      <c r="AB54" s="38" t="n"/>
      <c r="AC54" s="39" t="n"/>
      <c r="AD54" s="38" t="n"/>
      <c r="AE54" s="39" t="n"/>
      <c r="AF54" s="38" t="n"/>
      <c r="AG54" s="39" t="n"/>
      <c r="AH54" s="38" t="n"/>
      <c r="AI54" s="39" t="n"/>
      <c r="AJ54" s="38" t="n"/>
      <c r="AK54" s="39" t="n"/>
    </row>
    <row r="55" ht="28" customHeight="1">
      <c r="B55" s="34" t="inlineStr">
        <is>
          <t>Feel</t>
        </is>
      </c>
      <c r="C55" s="35" t="inlineStr">
        <is>
          <t>Durability</t>
        </is>
      </c>
      <c r="D55" s="36" t="inlineStr">
        <is>
          <t>Will they exist in three years, and will this still be their main business? Are we uncomfortably their largest customer?</t>
        </is>
      </c>
      <c r="E55" s="37" t="n"/>
      <c r="F55" s="38" t="n"/>
      <c r="G55" s="39" t="n"/>
      <c r="H55" s="38" t="n"/>
      <c r="I55" s="39" t="n"/>
      <c r="J55" s="38" t="n"/>
      <c r="K55" s="39" t="n"/>
      <c r="L55" s="38" t="n"/>
      <c r="M55" s="39" t="n"/>
      <c r="N55" s="38" t="n"/>
      <c r="O55" s="39" t="n"/>
      <c r="P55" s="38" t="n"/>
      <c r="Q55" s="39" t="n"/>
      <c r="R55" s="38" t="n"/>
      <c r="S55" s="39" t="n"/>
      <c r="T55" s="38" t="n"/>
      <c r="U55" s="39" t="n"/>
      <c r="V55" s="38" t="n"/>
      <c r="W55" s="39" t="n"/>
      <c r="X55" s="38" t="n"/>
      <c r="Y55" s="39" t="n"/>
      <c r="Z55" s="38" t="n"/>
      <c r="AA55" s="39" t="n"/>
      <c r="AB55" s="38" t="n"/>
      <c r="AC55" s="39" t="n"/>
      <c r="AD55" s="38" t="n"/>
      <c r="AE55" s="39" t="n"/>
      <c r="AF55" s="38" t="n"/>
      <c r="AG55" s="39" t="n"/>
      <c r="AH55" s="38" t="n"/>
      <c r="AI55" s="39" t="n"/>
      <c r="AJ55" s="38" t="n"/>
      <c r="AK55" s="39" t="n"/>
    </row>
    <row r="56" ht="28" customHeight="1">
      <c r="B56" s="34" t="inlineStr">
        <is>
          <t>Feel</t>
        </is>
      </c>
      <c r="C56" s="35" t="inlineStr">
        <is>
          <t>The room test</t>
        </is>
      </c>
      <c r="D56" s="36" t="inlineStr">
        <is>
          <t>Would we want these people in our building for two years? Leave blank until after the demo — on purpose.</t>
        </is>
      </c>
      <c r="E56" s="37" t="n"/>
      <c r="F56" s="38" t="n"/>
      <c r="G56" s="39" t="n"/>
      <c r="H56" s="38" t="n"/>
      <c r="I56" s="39" t="n"/>
      <c r="J56" s="38" t="n"/>
      <c r="K56" s="39" t="n"/>
      <c r="L56" s="38" t="n"/>
      <c r="M56" s="39" t="n"/>
      <c r="N56" s="38" t="n"/>
      <c r="O56" s="39" t="n"/>
      <c r="P56" s="38" t="n"/>
      <c r="Q56" s="39" t="n"/>
      <c r="R56" s="38" t="n"/>
      <c r="S56" s="39" t="n"/>
      <c r="T56" s="38" t="n"/>
      <c r="U56" s="39" t="n"/>
      <c r="V56" s="38" t="n"/>
      <c r="W56" s="39" t="n"/>
      <c r="X56" s="38" t="n"/>
      <c r="Y56" s="39" t="n"/>
      <c r="Z56" s="38" t="n"/>
      <c r="AA56" s="39" t="n"/>
      <c r="AB56" s="38" t="n"/>
      <c r="AC56" s="39" t="n"/>
      <c r="AD56" s="38" t="n"/>
      <c r="AE56" s="39" t="n"/>
      <c r="AF56" s="38" t="n"/>
      <c r="AG56" s="39" t="n"/>
      <c r="AH56" s="38" t="n"/>
      <c r="AI56" s="39" t="n"/>
      <c r="AJ56" s="38" t="n"/>
      <c r="AK56" s="39" t="n"/>
    </row>
    <row r="58" ht="21" customHeight="1">
      <c r="B58" s="48" t="inlineStr">
        <is>
          <t>NOTES   —   one line each.  This is what we go and ask.</t>
        </is>
      </c>
    </row>
    <row r="59" ht="54" customHeight="1">
      <c r="C59" s="49" t="inlineStr">
        <is>
          <t>What stands out</t>
        </is>
      </c>
      <c r="D59" s="50" t="inlineStr">
        <is>
          <t>against the field, or against our own thinking</t>
        </is>
      </c>
      <c r="E59" s="51" t="inlineStr">
        <is>
          <t>—</t>
        </is>
      </c>
      <c r="F59" s="39" t="n"/>
      <c r="H59" s="39" t="n"/>
      <c r="J59" s="39" t="n"/>
      <c r="L59" s="39" t="n"/>
      <c r="N59" s="39" t="n"/>
      <c r="P59" s="39" t="n"/>
      <c r="R59" s="39" t="n"/>
      <c r="T59" s="39" t="n"/>
      <c r="V59" s="39" t="n"/>
      <c r="X59" s="39" t="n"/>
      <c r="Z59" s="39" t="n"/>
      <c r="AB59" s="39" t="n"/>
      <c r="AD59" s="39" t="n"/>
      <c r="AF59" s="39" t="n"/>
      <c r="AH59" s="39" t="n"/>
      <c r="AJ59" s="39" t="n"/>
    </row>
    <row r="60" ht="54" customHeight="1">
      <c r="C60" s="49" t="inlineStr">
        <is>
          <t>What worries me</t>
        </is>
      </c>
      <c r="D60" s="50" t="inlineStr">
        <is>
          <t>including anything flagged above</t>
        </is>
      </c>
      <c r="E60" s="51" t="inlineStr">
        <is>
          <t>—</t>
        </is>
      </c>
      <c r="F60" s="39" t="n"/>
      <c r="H60" s="39" t="n"/>
      <c r="J60" s="39" t="n"/>
      <c r="L60" s="39" t="n"/>
      <c r="N60" s="39" t="n"/>
      <c r="P60" s="39" t="n"/>
      <c r="R60" s="39" t="n"/>
      <c r="T60" s="39" t="n"/>
      <c r="V60" s="39" t="n"/>
      <c r="X60" s="39" t="n"/>
      <c r="Z60" s="39" t="n"/>
      <c r="AB60" s="39" t="n"/>
      <c r="AD60" s="39" t="n"/>
      <c r="AF60" s="39" t="n"/>
      <c r="AH60" s="39" t="n"/>
      <c r="AJ60" s="39" t="n"/>
    </row>
    <row r="61" ht="54" customHeight="1">
      <c r="C61" s="49" t="inlineStr">
        <is>
          <t>What to go and ask</t>
        </is>
      </c>
      <c r="D61" s="50" t="inlineStr">
        <is>
          <t>the demo agenda</t>
        </is>
      </c>
      <c r="E61" s="51" t="inlineStr">
        <is>
          <t>—</t>
        </is>
      </c>
      <c r="F61" s="39" t="n"/>
      <c r="H61" s="39" t="n"/>
      <c r="J61" s="39" t="n"/>
      <c r="L61" s="39" t="n"/>
      <c r="N61" s="39" t="n"/>
      <c r="P61" s="39" t="n"/>
      <c r="R61" s="39" t="n"/>
      <c r="T61" s="39" t="n"/>
      <c r="V61" s="39" t="n"/>
      <c r="X61" s="39" t="n"/>
      <c r="Z61" s="39" t="n"/>
      <c r="AB61" s="39" t="n"/>
      <c r="AD61" s="39" t="n"/>
      <c r="AF61" s="39" t="n"/>
      <c r="AH61" s="39" t="n"/>
      <c r="AJ61" s="39" t="n"/>
    </row>
  </sheetData>
  <mergeCells count="80">
    <mergeCell ref="B21:AK21"/>
    <mergeCell ref="AB5:AC5"/>
    <mergeCell ref="AD5:AE5"/>
    <mergeCell ref="J59:K59"/>
    <mergeCell ref="E32:E34"/>
    <mergeCell ref="J60:K60"/>
    <mergeCell ref="AB60:AC60"/>
    <mergeCell ref="AD60:AE60"/>
    <mergeCell ref="P59:Q59"/>
    <mergeCell ref="AB59:AC59"/>
    <mergeCell ref="L5:M5"/>
    <mergeCell ref="N5:O5"/>
    <mergeCell ref="N61:O61"/>
    <mergeCell ref="P61:Q61"/>
    <mergeCell ref="AB61:AC61"/>
    <mergeCell ref="AF59:AG59"/>
    <mergeCell ref="AH59:AI59"/>
    <mergeCell ref="T61:U61"/>
    <mergeCell ref="B51:AK51"/>
    <mergeCell ref="AH61:AI61"/>
    <mergeCell ref="B50:AK50"/>
    <mergeCell ref="E36:E38"/>
    <mergeCell ref="R60:S60"/>
    <mergeCell ref="B12:AK12"/>
    <mergeCell ref="R59:S59"/>
    <mergeCell ref="P60:Q60"/>
    <mergeCell ref="AD59:AE59"/>
    <mergeCell ref="F5:G5"/>
    <mergeCell ref="B40:AK40"/>
    <mergeCell ref="X5:Y5"/>
    <mergeCell ref="Z5:AA5"/>
    <mergeCell ref="AJ5:AK5"/>
    <mergeCell ref="AD61:AE61"/>
    <mergeCell ref="X60:Y60"/>
    <mergeCell ref="F61:G61"/>
    <mergeCell ref="Z60:AA60"/>
    <mergeCell ref="L59:M59"/>
    <mergeCell ref="B26:AK26"/>
    <mergeCell ref="B35:AK35"/>
    <mergeCell ref="X59:Y59"/>
    <mergeCell ref="Z59:AA59"/>
    <mergeCell ref="H5:I5"/>
    <mergeCell ref="J61:K61"/>
    <mergeCell ref="L61:M61"/>
    <mergeCell ref="B3:AK3"/>
    <mergeCell ref="V61:W61"/>
    <mergeCell ref="B27:AK27"/>
    <mergeCell ref="B58:AK58"/>
    <mergeCell ref="B44:AK44"/>
    <mergeCell ref="H60:I60"/>
    <mergeCell ref="AF5:AG5"/>
    <mergeCell ref="N59:O59"/>
    <mergeCell ref="T60:U60"/>
    <mergeCell ref="L60:M60"/>
    <mergeCell ref="N60:O60"/>
    <mergeCell ref="AF60:AG60"/>
    <mergeCell ref="P5:Q5"/>
    <mergeCell ref="AJ60:AK60"/>
    <mergeCell ref="R5:S5"/>
    <mergeCell ref="R61:S61"/>
    <mergeCell ref="AF61:AG61"/>
    <mergeCell ref="J5:K5"/>
    <mergeCell ref="AJ59:AK59"/>
    <mergeCell ref="T5:U5"/>
    <mergeCell ref="V5:W5"/>
    <mergeCell ref="X61:Y61"/>
    <mergeCell ref="Z61:AA61"/>
    <mergeCell ref="AH5:AI5"/>
    <mergeCell ref="AJ61:AK61"/>
    <mergeCell ref="F59:G59"/>
    <mergeCell ref="H59:I59"/>
    <mergeCell ref="T59:U59"/>
    <mergeCell ref="V59:W59"/>
    <mergeCell ref="H61:I61"/>
    <mergeCell ref="V60:W60"/>
    <mergeCell ref="AH60:AI60"/>
    <mergeCell ref="E28:E30"/>
    <mergeCell ref="F60:G60"/>
    <mergeCell ref="B47:AK47"/>
    <mergeCell ref="B31:AK31"/>
  </mergeCells>
  <conditionalFormatting sqref="F8:AJ8">
    <cfRule type="colorScale" priority="1">
      <colorScale>
        <cfvo type="num" val="40"/>
        <cfvo type="num" val="65"/>
        <cfvo type="num" val="90"/>
        <color rgb="00F5E3E3"/>
        <color rgb="00FBF3DD"/>
        <color rgb="00DDEBE0"/>
      </colorScale>
    </cfRule>
  </conditionalFormatting>
  <conditionalFormatting sqref="F13:AJ13">
    <cfRule type="colorScale" priority="2">
      <colorScale>
        <cfvo type="num" val="0"/>
        <cfvo type="num" val="1"/>
        <color rgb="00FFFFFF"/>
        <color rgb="003F7A50"/>
      </colorScale>
    </cfRule>
  </conditionalFormatting>
  <conditionalFormatting sqref="F14:AJ14">
    <cfRule type="colorScale" priority="3">
      <colorScale>
        <cfvo type="num" val="0"/>
        <cfvo type="num" val="1"/>
        <color rgb="00FFFFFF"/>
        <color rgb="003F7A50"/>
      </colorScale>
    </cfRule>
  </conditionalFormatting>
  <conditionalFormatting sqref="F15:AJ15">
    <cfRule type="colorScale" priority="4">
      <colorScale>
        <cfvo type="num" val="0"/>
        <cfvo type="num" val="1"/>
        <color rgb="00FFFFFF"/>
        <color rgb="003F7A50"/>
      </colorScale>
    </cfRule>
  </conditionalFormatting>
  <conditionalFormatting sqref="F16:AJ16">
    <cfRule type="colorScale" priority="5">
      <colorScale>
        <cfvo type="num" val="0"/>
        <cfvo type="num" val="1"/>
        <color rgb="00FFFFFF"/>
        <color rgb="003F7A50"/>
      </colorScale>
    </cfRule>
  </conditionalFormatting>
  <conditionalFormatting sqref="F17:AJ17">
    <cfRule type="colorScale" priority="6">
      <colorScale>
        <cfvo type="num" val="0"/>
        <cfvo type="num" val="1"/>
        <color rgb="00FFFFFF"/>
        <color rgb="003F7A50"/>
      </colorScale>
    </cfRule>
  </conditionalFormatting>
  <conditionalFormatting sqref="F18:AJ18">
    <cfRule type="colorScale" priority="7">
      <colorScale>
        <cfvo type="num" val="0"/>
        <cfvo type="num" val="1"/>
        <color rgb="00FFFFFF"/>
        <color rgb="003F7A50"/>
      </colorScale>
    </cfRule>
  </conditionalFormatting>
  <conditionalFormatting sqref="F19:AJ19">
    <cfRule type="colorScale" priority="8">
      <colorScale>
        <cfvo type="num" val="0"/>
        <cfvo type="num" val="1"/>
        <color rgb="00FFFFFF"/>
        <color rgb="003F7A50"/>
      </colorScale>
    </cfRule>
  </conditionalFormatting>
  <conditionalFormatting sqref="F23:AJ23">
    <cfRule type="expression" priority="9" dxfId="0">
      <formula>F23="STOP-CHECK"</formula>
    </cfRule>
    <cfRule type="expression" priority="10" dxfId="1">
      <formula>F23="Watch"</formula>
    </cfRule>
  </conditionalFormatting>
  <conditionalFormatting sqref="F24:AJ24">
    <cfRule type="expression" priority="11" dxfId="0">
      <formula>F24="STOP-CHECK"</formula>
    </cfRule>
    <cfRule type="expression" priority="12" dxfId="1">
      <formula>F24="Watch"</formula>
    </cfRule>
  </conditionalFormatting>
  <conditionalFormatting sqref="F42:AJ42">
    <cfRule type="expression" priority="13" dxfId="0">
      <formula>F42="STOP-CHECK"</formula>
    </cfRule>
    <cfRule type="expression" priority="14" dxfId="1">
      <formula>F42="Watch"</formula>
    </cfRule>
  </conditionalFormatting>
  <conditionalFormatting sqref="F52:AJ52">
    <cfRule type="expression" priority="15" dxfId="0">
      <formula>F52="Concern"</formula>
    </cfRule>
    <cfRule type="expression" priority="16" dxfId="2">
      <formula>F52="Strong"</formula>
    </cfRule>
  </conditionalFormatting>
  <conditionalFormatting sqref="F53:AJ53">
    <cfRule type="expression" priority="17" dxfId="0">
      <formula>F53="Concern"</formula>
    </cfRule>
    <cfRule type="expression" priority="18" dxfId="2">
      <formula>F53="Strong"</formula>
    </cfRule>
  </conditionalFormatting>
  <conditionalFormatting sqref="F54:AJ54">
    <cfRule type="expression" priority="19" dxfId="0">
      <formula>F54="Concern"</formula>
    </cfRule>
    <cfRule type="expression" priority="20" dxfId="2">
      <formula>F54="Strong"</formula>
    </cfRule>
  </conditionalFormatting>
  <conditionalFormatting sqref="F55:AJ55">
    <cfRule type="expression" priority="21" dxfId="0">
      <formula>F55="Concern"</formula>
    </cfRule>
    <cfRule type="expression" priority="22" dxfId="2">
      <formula>F55="Strong"</formula>
    </cfRule>
  </conditionalFormatting>
  <conditionalFormatting sqref="F56:AJ56">
    <cfRule type="expression" priority="23" dxfId="0">
      <formula>F56="Concern"</formula>
    </cfRule>
    <cfRule type="expression" priority="24" dxfId="2">
      <formula>F56="Strong"</formula>
    </cfRule>
  </conditionalFormatting>
  <conditionalFormatting sqref="F9:AJ9">
    <cfRule type="expression" priority="25" dxfId="1">
      <formula>ISNUMBER(SEARCH("Conditional",F9))</formula>
    </cfRule>
  </conditionalFormatting>
  <dataValidations count="7">
    <dataValidation sqref="F22 H22 J22 L22 N22 P22 R22 T22 V22 X22 Z22 AB22 AD22 AF22 AH22 AJ22" showDropDown="0" showInputMessage="1" showErrorMessage="1" allowBlank="1" errorTitle="Pick from the list" error="Use the dropdown. A typed value would silently score zero." promptTitle="A1 — Home Care Home Base" prompt="Pick one line. Ambiguous? Take the lower one and say why in the notes." type="list" errorStyle="stop">
      <formula1>=HCHB_List</formula1>
    </dataValidation>
    <dataValidation sqref="F28 F29 F30 F32 F33 F34 F36 F37 F38 H28 H29 H30 H32 H33 H34 H36 H37 H38 J28 J29 J30 J32 J33 J34 J36 J37 J38 L28 L29 L30 L32 L33 L34 L36 L37 L38 N28 N29 N30 N32 N33 N34 N36 N37 N38 P28 P29 P30 P32 P33 P34 P36 P37 P38 R28 R29 R30 R32 R33 R34 R36 R37 R38 T28 T29 T30 T32 T33 T34 T36 T37 T38 V28 V29 V30 V32 V33 V34 V36 V37 V38 X28 X29 X30 X32 X33 X34 X36 X37 X38 Z28 Z29 Z30 Z32 Z33 Z34 Z36 Z37 Z38 AB28 AB29 AB30 AB32 AB33 AB34 AB36 AB37 AB38 AD28 AD29 AD30 AD32 AD33 AD34 AD36 AD37 AD38 AF28 AF29 AF30 AF32 AF33 AF34 AF36 AF37 AF38 AH28 AH29 AH30 AH32 AH33 AH34 AH36 AH37 AH38 AJ28 AJ29 AJ30 AJ32 AJ33 AJ34 AJ36 AJ37 AJ38"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41 H41 J41 L41 N41 P41 R41 T41 V41 X41 Z41 AB41 AD41 AF41 AH41 AJ41" showDropDown="0" showInputMessage="1" showErrorMessage="1" allowBlank="1" errorTitle="Pick from the list" error="Use the dropdown. A typed value would silently score zero." promptTitle="Sophistication, 0–4" prompt="1 shows it · 2 checks it · 3 recommends it · 4 runs it. Score the product, not the write-up." type="list" errorStyle="stop">
      <formula1>=Soph_List</formula1>
    </dataValidation>
    <dataValidation sqref="F45 H45 J45 L45 N45 P45 R45 T45 V45 X45 Z45 AB45 AD45 AF45 AH45 AJ45" showDropDown="0" showInputMessage="1" showErrorMessage="1" allowBlank="1" errorTitle="Pick from the list" error="Use the dropdown. A typed value would silently score zero." promptTitle="Clinician fit, 0–4" prompt="Read D1 to D3 and give it your own read. No checklist, on purpose." type="list" errorStyle="stop">
      <formula1>=Clin_List</formula1>
    </dataValidation>
    <dataValidation sqref="F48 H48 J48 L48 N48 P48 R48 T48 V48 X48 Z48 AB48 AD48 AF48 AH48 AJ48" showDropDown="0" showInputMessage="1" showErrorMessage="1" allowBlank="1" errorTitle="Pick from the list" error="Use the dropdown. A typed value would silently score zero." promptTitle="Partnership, 0–4" prompt="Able and willing to build it with us, and open to us holding a stake." type="list" errorStyle="stop">
      <formula1>=Part_List</formula1>
    </dataValidation>
    <dataValidation sqref="F23 F24 F42 H23 H24 H42 J23 J24 J42 L23 L24 L42 N23 N24 N42 P23 P24 P42 R23 R24 R42 T23 T24 T42 V23 V24 V42 X23 X24 X42 Z23 Z24 Z42 AB23 AB24 AB42 AD23 AD24 AD42 AF23 AF24 AF42 AH23 AH24 AH42 AJ23 AJ24 AJ42"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F52 F53 F54 F55 F56 H52 H53 H54 H55 H56 J52 J53 J54 J55 J56 L52 L53 L54 L55 L56 N52 N53 N54 N55 N56 P52 P53 P54 P55 P56 R52 R53 R54 R55 R56 T52 T53 T54 T55 T56 V52 V53 V54 V55 V56 X52 X53 X54 X55 X56 Z52 Z53 Z54 Z55 Z56 AB52 AB53 AB54 AB55 AB56 AD52 AD53 AD54 AD55 AD56 AF52 AF53 AF54 AF55 AF56 AH52 AH53 AH54 AH55 AH56 AJ52 AJ53 AJ54 AJ55 AJ56"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9A7B15"/>
    <outlinePr summaryBelow="1" summaryRight="1"/>
    <pageSetUpPr/>
  </sheetPr>
  <dimension ref="B2:D85"/>
  <sheetViews>
    <sheetView showGridLines="0" tabSelected="0" workbookViewId="0">
      <selection activeCell="A1" sqref="A1"/>
    </sheetView>
  </sheetViews>
  <sheetFormatPr baseColWidth="8" defaultRowHeight="15"/>
  <cols>
    <col width="4" customWidth="1" min="1" max="1"/>
    <col width="30" customWidth="1" min="2" max="2"/>
    <col width="12" customWidth="1" min="3" max="3"/>
    <col width="96" customWidth="1" min="4" max="4"/>
  </cols>
  <sheetData>
    <row r="2">
      <c r="B2" s="52" t="inlineStr">
        <is>
          <t>COMPASSUS  ·  HOME HEALTH</t>
        </is>
      </c>
    </row>
    <row r="3" ht="32" customHeight="1">
      <c r="B3" s="53" t="inlineStr">
        <is>
          <t>Vendor Scorecard</t>
        </is>
      </c>
    </row>
    <row r="4">
      <c r="B4" s="54" t="inlineStr">
        <is>
          <t>The questionnaire is the rubric. Read the return top to bottom and fill the sheet top to bottom.</t>
        </is>
      </c>
    </row>
    <row r="6" ht="10" customHeight="1"/>
    <row r="7" ht="22" customHeight="1">
      <c r="B7" s="27" t="inlineStr">
        <is>
          <t>WEIGHTS   —   change these</t>
        </is>
      </c>
    </row>
    <row r="8" ht="28" customHeight="1">
      <c r="B8" s="55" t="inlineStr">
        <is>
          <t>The section grades are the product. The total is a sort key, so sixteen vendors can be ordered — it is not the decision. Change any weight below and every total and band on both scoring tabs re-computes; nothing else moves. These starting values are a proposal, not a settled position.</t>
        </is>
      </c>
    </row>
    <row r="9">
      <c r="B9" s="56" t="inlineStr">
        <is>
          <t>Section</t>
        </is>
      </c>
      <c r="C9" s="57" t="inlineStr">
        <is>
          <t>Weight</t>
        </is>
      </c>
      <c r="D9" s="56" t="inlineStr">
        <is>
          <t>Graded from</t>
        </is>
      </c>
    </row>
    <row r="10" ht="22" customHeight="1">
      <c r="B10" s="26" t="inlineStr">
        <is>
          <t>Home Care Home Base</t>
        </is>
      </c>
      <c r="C10" s="58" t="n">
        <v>20</v>
      </c>
      <c r="D10" s="11" t="inlineStr">
        <is>
          <t>A1 — one rung of six</t>
        </is>
      </c>
    </row>
    <row r="11" ht="22" customHeight="1">
      <c r="B11" s="26" t="inlineStr">
        <is>
          <t>Capacity</t>
        </is>
      </c>
      <c r="C11" s="58" t="n">
        <v>12</v>
      </c>
      <c r="D11" s="11" t="inlineStr">
        <is>
          <t>Section B — three marks of 0–4</t>
        </is>
      </c>
    </row>
    <row r="12" ht="22" customHeight="1">
      <c r="B12" s="26" t="inlineStr">
        <is>
          <t>Scheduling</t>
        </is>
      </c>
      <c r="C12" s="58" t="n">
        <v>12</v>
      </c>
      <c r="D12" s="11" t="inlineStr">
        <is>
          <t>Section B — three marks of 0–4</t>
        </is>
      </c>
    </row>
    <row r="13" ht="22" customHeight="1">
      <c r="B13" s="26" t="inlineStr">
        <is>
          <t>Engagement</t>
        </is>
      </c>
      <c r="C13" s="58" t="n">
        <v>12</v>
      </c>
      <c r="D13" s="11" t="inlineStr">
        <is>
          <t>Section B — three marks of 0–4</t>
        </is>
      </c>
    </row>
    <row r="14" ht="22" customHeight="1">
      <c r="B14" s="26" t="inlineStr">
        <is>
          <t>Sophistication</t>
        </is>
      </c>
      <c r="C14" s="58" t="n">
        <v>20</v>
      </c>
      <c r="D14" s="11" t="inlineStr">
        <is>
          <t>Section C — one mark of 0–4</t>
        </is>
      </c>
    </row>
    <row r="15" ht="22" customHeight="1">
      <c r="B15" s="26" t="inlineStr">
        <is>
          <t>Clinician fit</t>
        </is>
      </c>
      <c r="C15" s="58" t="n">
        <v>12</v>
      </c>
      <c r="D15" s="11" t="inlineStr">
        <is>
          <t>D1–D3 — one mark of 0–4</t>
        </is>
      </c>
    </row>
    <row r="16" ht="22" customHeight="1">
      <c r="B16" s="26" t="inlineStr">
        <is>
          <t>Partnership</t>
        </is>
      </c>
      <c r="C16" s="58" t="n">
        <v>12</v>
      </c>
      <c r="D16" s="11" t="inlineStr">
        <is>
          <t>E1–E4 — one mark of 0–4</t>
        </is>
      </c>
    </row>
    <row r="17" ht="24" customHeight="1">
      <c r="B17" s="59" t="inlineStr">
        <is>
          <t>TOTAL</t>
        </is>
      </c>
      <c r="C17" s="60">
        <f>SUM(C10:C16)</f>
        <v/>
      </c>
      <c r="D17" s="3" t="inlineStr">
        <is>
          <t>Keep this at 100 and the total stays out of 100.</t>
        </is>
      </c>
    </row>
    <row r="19" ht="22" customHeight="1">
      <c r="B19" s="27" t="inlineStr">
        <is>
          <t>HOW IT WORKS</t>
        </is>
      </c>
    </row>
    <row r="20" ht="28" customHeight="1">
      <c r="B20" s="55" t="inlineStr">
        <is>
          <t>Every one of the 17 questions on the questionnaire has a row on the scoring tabs, in the order it appears on the form. Each vendor gets two columns: the mark, and a wide notes column for the justification, the claim-versus-evidence read, and anything else worth writing down.</t>
        </is>
      </c>
    </row>
    <row r="21" ht="28" customHeight="1">
      <c r="B21" s="55" t="inlineStr">
        <is>
          <t>Thirteen rows take a mark. Three raise a flag rather than moving the score — a vendor with no continuity commitment should be stopped and asked, not quietly docked a few points. Five are intangibles, which carry no points at all.</t>
        </is>
      </c>
    </row>
    <row r="22" ht="10" customHeight="1"/>
    <row r="23" ht="22" customHeight="1">
      <c r="B23" s="27" t="inlineStr">
        <is>
          <t>A1  ·  HOME CARE HOME BASE   —   pick one line</t>
        </is>
      </c>
    </row>
    <row r="24" ht="28" customHeight="1">
      <c r="B24" s="55" t="inlineStr">
        <is>
          <t>Three of the six rungs are live integrations, because live through a partner is still live. Anything not yet live shows as Conditional on the band, whatever the total.</t>
        </is>
      </c>
    </row>
    <row r="25" ht="20" customHeight="1">
      <c r="B25" s="61" t="inlineStr">
        <is>
          <t>20</t>
        </is>
      </c>
      <c r="C25" s="55" t="inlineStr">
        <is>
          <t>Live — established customer base</t>
        </is>
      </c>
    </row>
    <row r="26" ht="20" customHeight="1">
      <c r="B26" s="61" t="inlineStr">
        <is>
          <t>16</t>
        </is>
      </c>
      <c r="C26" s="55" t="inlineStr">
        <is>
          <t>Live — small customer base</t>
        </is>
      </c>
    </row>
    <row r="27" ht="20" customHeight="1">
      <c r="B27" s="61" t="inlineStr">
        <is>
          <t>12</t>
        </is>
      </c>
      <c r="C27" s="55" t="inlineStr">
        <is>
          <t>Live — through a partner</t>
        </is>
      </c>
    </row>
    <row r="28" ht="20" customHeight="1">
      <c r="B28" s="61" t="inlineStr">
        <is>
          <t>6</t>
        </is>
      </c>
      <c r="C28" s="55" t="inlineStr">
        <is>
          <t>In development — with a date</t>
        </is>
      </c>
    </row>
    <row r="29" ht="20" customHeight="1">
      <c r="B29" s="61" t="inlineStr">
        <is>
          <t>2</t>
        </is>
      </c>
      <c r="C29" s="55" t="inlineStr">
        <is>
          <t>On the roadmap — no date</t>
        </is>
      </c>
    </row>
    <row r="30" ht="20" customHeight="1">
      <c r="B30" s="61" t="inlineStr">
        <is>
          <t>0</t>
        </is>
      </c>
      <c r="C30" s="55" t="inlineStr">
        <is>
          <t>None, and no path to one</t>
        </is>
      </c>
    </row>
    <row r="31" ht="10" customHeight="1"/>
    <row r="32" ht="22" customHeight="1">
      <c r="B32" s="27" t="inlineStr">
        <is>
          <t>SECTION B  ·  SCOPE   —   three marks per arena, 0 to 4</t>
        </is>
      </c>
    </row>
    <row r="33" ht="41" customHeight="1">
      <c r="B33" s="55" t="inlineStr">
        <is>
          <t>Each row names the area and what sits inside it, so the checklist is in front of you. Where Section C contradicts Section B, believe Section C. Capacity's three areas map one to one; Scheduling and Engagement have four apiece, so the two that belong together are paired rather than inventing a split the one-pager cannot carry.</t>
        </is>
      </c>
    </row>
    <row r="34" ht="20" customHeight="1">
      <c r="B34" s="61" t="inlineStr">
        <is>
          <t>4</t>
        </is>
      </c>
      <c r="C34" s="55" t="inlineStr">
        <is>
          <t>Most of it</t>
        </is>
      </c>
    </row>
    <row r="35" ht="20" customHeight="1">
      <c r="B35" s="61" t="inlineStr">
        <is>
          <t>3</t>
        </is>
      </c>
      <c r="C35" s="55" t="inlineStr">
        <is>
          <t>More than half</t>
        </is>
      </c>
    </row>
    <row r="36" ht="20" customHeight="1">
      <c r="B36" s="61" t="inlineStr">
        <is>
          <t>2</t>
        </is>
      </c>
      <c r="C36" s="55" t="inlineStr">
        <is>
          <t>About half</t>
        </is>
      </c>
    </row>
    <row r="37" ht="20" customHeight="1">
      <c r="B37" s="61" t="inlineStr">
        <is>
          <t>1</t>
        </is>
      </c>
      <c r="C37" s="55" t="inlineStr">
        <is>
          <t>A corner of it</t>
        </is>
      </c>
    </row>
    <row r="38" ht="20" customHeight="1">
      <c r="B38" s="61" t="inlineStr">
        <is>
          <t>0</t>
        </is>
      </c>
      <c r="C38" s="55" t="inlineStr">
        <is>
          <t>Nothing here</t>
        </is>
      </c>
    </row>
    <row r="39" ht="10" customHeight="1"/>
    <row r="40" ht="22" customHeight="1">
      <c r="B40" s="27" t="inlineStr">
        <is>
          <t>SECTION C  ·  SOPHISTICATION   —   one mark, 0 to 4</t>
        </is>
      </c>
    </row>
    <row r="41" ht="28" customHeight="1">
      <c r="B41" s="55" t="inlineStr">
        <is>
          <t>How much of the work the product does — the Read / Assist / Control language already in our workbook. Score what the product does, not how much the vendor wrote about it. How it does something is a demo question, not a reason to mark it down.</t>
        </is>
      </c>
    </row>
    <row r="42" ht="20" customHeight="1">
      <c r="B42" s="61" t="inlineStr">
        <is>
          <t>4</t>
        </is>
      </c>
      <c r="C42" s="55" t="inlineStr">
        <is>
          <t>Runs it — decides across the whole picture, and re-decides when things change</t>
        </is>
      </c>
    </row>
    <row r="43" ht="20" customHeight="1">
      <c r="B43" s="61" t="inlineStr">
        <is>
          <t>3</t>
        </is>
      </c>
      <c r="C43" s="55" t="inlineStr">
        <is>
          <t>Recommends it — works out the answer and proposes it; a person confirms</t>
        </is>
      </c>
    </row>
    <row r="44" ht="20" customHeight="1">
      <c r="B44" s="61" t="inlineStr">
        <is>
          <t>2</t>
        </is>
      </c>
      <c r="C44" s="55" t="inlineStr">
        <is>
          <t>Checks it — applies rules and flags problems; a person still works it</t>
        </is>
      </c>
    </row>
    <row r="45" ht="20" customHeight="1">
      <c r="B45" s="61" t="inlineStr">
        <is>
          <t>1</t>
        </is>
      </c>
      <c r="C45" s="55" t="inlineStr">
        <is>
          <t>Shows it — surfaces the information; a person does all the work</t>
        </is>
      </c>
    </row>
    <row r="46" ht="20" customHeight="1">
      <c r="B46" s="61" t="inlineStr">
        <is>
          <t>0</t>
        </is>
      </c>
      <c r="C46" s="55" t="inlineStr">
        <is>
          <t>Not addressed</t>
        </is>
      </c>
    </row>
    <row r="47" ht="10" customHeight="1"/>
    <row r="48" ht="22" customHeight="1">
      <c r="B48" s="27" t="inlineStr">
        <is>
          <t>SECTION D  ·  CLINICIAN FIT   —   one mark, 0 to 4</t>
        </is>
      </c>
    </row>
    <row r="49" ht="28" customHeight="1">
      <c r="B49" s="55" t="inlineStr">
        <is>
          <t>No descriptions on purpose. Read D1 to D3 and give it your own read — we know how our clinicians work and what they will accept. Say why in the notes column.</t>
        </is>
      </c>
    </row>
    <row r="50" ht="20" customHeight="1">
      <c r="B50" s="61" t="inlineStr">
        <is>
          <t>4</t>
        </is>
      </c>
      <c r="C50" s="55" t="inlineStr">
        <is>
          <t>Strong fit</t>
        </is>
      </c>
    </row>
    <row r="51" ht="20" customHeight="1">
      <c r="B51" s="61" t="inlineStr">
        <is>
          <t>3</t>
        </is>
      </c>
      <c r="C51" s="55" t="inlineStr">
        <is>
          <t>Good fit</t>
        </is>
      </c>
    </row>
    <row r="52" ht="20" customHeight="1">
      <c r="B52" s="61" t="inlineStr">
        <is>
          <t>2</t>
        </is>
      </c>
      <c r="C52" s="55" t="inlineStr">
        <is>
          <t>Workable</t>
        </is>
      </c>
    </row>
    <row r="53" ht="20" customHeight="1">
      <c r="B53" s="61" t="inlineStr">
        <is>
          <t>1</t>
        </is>
      </c>
      <c r="C53" s="55" t="inlineStr">
        <is>
          <t>Poor fit</t>
        </is>
      </c>
    </row>
    <row r="54" ht="20" customHeight="1">
      <c r="B54" s="61" t="inlineStr">
        <is>
          <t>0</t>
        </is>
      </c>
      <c r="C54" s="55" t="inlineStr">
        <is>
          <t>Not answered</t>
        </is>
      </c>
    </row>
    <row r="55" ht="10" customHeight="1"/>
    <row r="56" ht="22" customHeight="1">
      <c r="B56" s="27" t="inlineStr">
        <is>
          <t>SECTION E  ·  PARTNERSHIP   —   one mark, 0 to 4</t>
        </is>
      </c>
    </row>
    <row r="57" ht="28" customHeight="1">
      <c r="B57" s="55" t="inlineStr">
        <is>
          <t>A company with the willingness and the environment to build this around our needs, and open to us holding equity so a product for the general market becomes possible. Read all four E answers, not only E2. A discount is a discount.</t>
        </is>
      </c>
    </row>
    <row r="58" ht="20" customHeight="1">
      <c r="B58" s="61" t="inlineStr">
        <is>
          <t>4</t>
        </is>
      </c>
      <c r="C58" s="55" t="inlineStr">
        <is>
          <t>Open to equity or a stake in what we build, and set up to build it with us</t>
        </is>
      </c>
    </row>
    <row r="59" ht="20" customHeight="1">
      <c r="B59" s="61" t="inlineStr">
        <is>
          <t>3</t>
        </is>
      </c>
      <c r="C59" s="55" t="inlineStr">
        <is>
          <t>Ready to build to our needs as a design partner; ownership not addressed</t>
        </is>
      </c>
    </row>
    <row r="60" ht="20" customHeight="1">
      <c r="B60" s="61" t="inlineStr">
        <is>
          <t>2</t>
        </is>
      </c>
      <c r="C60" s="55" t="inlineStr">
        <is>
          <t>Will take our input, but they own the roadmap and the product</t>
        </is>
      </c>
    </row>
    <row r="61" ht="20" customHeight="1">
      <c r="B61" s="61" t="inlineStr">
        <is>
          <t>1</t>
        </is>
      </c>
      <c r="C61" s="55" t="inlineStr">
        <is>
          <t>A standard customer relationship — we buy what already exists</t>
        </is>
      </c>
    </row>
    <row r="62" ht="20" customHeight="1">
      <c r="B62" s="61" t="inlineStr">
        <is>
          <t>0</t>
        </is>
      </c>
      <c r="C62" s="55" t="inlineStr">
        <is>
          <t>Not answered</t>
        </is>
      </c>
    </row>
    <row r="63" ht="10" customHeight="1"/>
    <row r="64" ht="22" customHeight="1">
      <c r="B64" s="27" t="inlineStr">
        <is>
          <t>INTANGIBLES   —   no points, and allowed to disagree with the score</t>
        </is>
      </c>
    </row>
    <row r="65" ht="28" customHeight="1">
      <c r="B65" s="55" t="inlineStr">
        <is>
          <t>The reads we will form as we work through these answers and meet these people. Strong, Neutral or Concern, with the reason and your initials in the notes column. If this section never disagrees with the numbers, it is not doing anything.</t>
        </is>
      </c>
    </row>
    <row r="66" ht="20" customHeight="1">
      <c r="B66" s="61" t="inlineStr"/>
      <c r="C66" s="55" t="inlineStr">
        <is>
          <t>Home health fluency</t>
        </is>
      </c>
    </row>
    <row r="67" ht="20" customHeight="1">
      <c r="B67" s="61" t="inlineStr"/>
      <c r="C67" s="55" t="inlineStr">
        <is>
          <t>Candor about gaps</t>
        </is>
      </c>
    </row>
    <row r="68" ht="20" customHeight="1">
      <c r="B68" s="61" t="inlineStr"/>
      <c r="C68" s="55" t="inlineStr">
        <is>
          <t>Who wrote this</t>
        </is>
      </c>
    </row>
    <row r="69" ht="20" customHeight="1">
      <c r="B69" s="61" t="inlineStr"/>
      <c r="C69" s="55" t="inlineStr">
        <is>
          <t>Durability</t>
        </is>
      </c>
    </row>
    <row r="70" ht="20" customHeight="1">
      <c r="B70" s="61" t="inlineStr"/>
      <c r="C70" s="55" t="inlineStr">
        <is>
          <t>The room test</t>
        </is>
      </c>
    </row>
    <row r="71" ht="28" customHeight="1">
      <c r="B71" s="55" t="inlineStr">
        <is>
          <t>This is also where bias gets in. Not credible can mean they were vague, or that they were unfamiliar. The protection is that every read is written down with a reason, so someone can ask what specifically gave you that.</t>
        </is>
      </c>
    </row>
    <row r="72" ht="10" customHeight="1"/>
    <row r="73" ht="22" customHeight="1">
      <c r="B73" s="27" t="inlineStr">
        <is>
          <t>THE THREE THAT RAISE A FLAG INSTEAD</t>
        </is>
      </c>
    </row>
    <row r="74" ht="20" customHeight="1">
      <c r="B74" s="61" t="inlineStr">
        <is>
          <t>A2</t>
        </is>
      </c>
      <c r="C74" s="55" t="inlineStr">
        <is>
          <t>Customers, scale and references — stop-check if one customer, or no references</t>
        </is>
      </c>
    </row>
    <row r="75" ht="20" customHeight="1">
      <c r="B75" s="61" t="inlineStr">
        <is>
          <t>A3</t>
        </is>
      </c>
      <c r="C75" s="55" t="inlineStr">
        <is>
          <t>Measured impact — watch if claimed with no baseline or period</t>
        </is>
      </c>
    </row>
    <row r="76" ht="20" customHeight="1">
      <c r="B76" s="61" t="inlineStr">
        <is>
          <t>C6</t>
        </is>
      </c>
      <c r="C76" s="55" t="inlineStr">
        <is>
          <t>When your product is down — stop-check if no uptime figure or commitment</t>
        </is>
      </c>
    </row>
    <row r="77" ht="10" customHeight="1"/>
    <row r="78" ht="22" customHeight="1">
      <c r="B78" s="27" t="inlineStr">
        <is>
          <t>BANDS</t>
        </is>
      </c>
    </row>
    <row r="79" ht="20" customHeight="1">
      <c r="B79" s="61" t="inlineStr">
        <is>
          <t>80–100</t>
        </is>
      </c>
      <c r="C79" s="55" t="inlineStr">
        <is>
          <t>Advance</t>
        </is>
      </c>
    </row>
    <row r="80" ht="20" customHeight="1">
      <c r="B80" s="61" t="inlineStr">
        <is>
          <t>65–79</t>
        </is>
      </c>
      <c r="C80" s="55" t="inlineStr">
        <is>
          <t>Consider</t>
        </is>
      </c>
    </row>
    <row r="81" ht="20" customHeight="1">
      <c r="B81" s="61" t="inlineStr">
        <is>
          <t>50–64</t>
        </is>
      </c>
      <c r="C81" s="55" t="inlineStr">
        <is>
          <t>Hold</t>
        </is>
      </c>
    </row>
    <row r="82" ht="20" customHeight="1">
      <c r="B82" s="61" t="inlineStr">
        <is>
          <t>&lt; 50</t>
        </is>
      </c>
      <c r="C82" s="55" t="inlineStr">
        <is>
          <t>Decline</t>
        </is>
      </c>
    </row>
    <row r="83" ht="20" customHeight="1">
      <c r="B83" s="61" t="inlineStr">
        <is>
          <t>Conditional</t>
        </is>
      </c>
      <c r="C83" s="55" t="inlineStr">
        <is>
          <t>Shown whenever the integration is not yet live, whatever the total</t>
        </is>
      </c>
    </row>
    <row r="85">
      <c r="B85" s="62" t="inlineStr">
        <is>
          <t>Scorecard v3.0  ·  questionnaire form_version 2026-08-19</t>
        </is>
      </c>
    </row>
  </sheetData>
  <mergeCells count="60">
    <mergeCell ref="C83:D83"/>
    <mergeCell ref="C34:D34"/>
    <mergeCell ref="C30:D30"/>
    <mergeCell ref="C62:D62"/>
    <mergeCell ref="C68:D68"/>
    <mergeCell ref="B23:D23"/>
    <mergeCell ref="B57:D57"/>
    <mergeCell ref="B8:D8"/>
    <mergeCell ref="C42:D42"/>
    <mergeCell ref="C58:D58"/>
    <mergeCell ref="B73:D73"/>
    <mergeCell ref="C45:D45"/>
    <mergeCell ref="C74:D74"/>
    <mergeCell ref="B78:D78"/>
    <mergeCell ref="C26:D26"/>
    <mergeCell ref="C79:D79"/>
    <mergeCell ref="C35:D35"/>
    <mergeCell ref="B19:D19"/>
    <mergeCell ref="C29:D29"/>
    <mergeCell ref="C69:D69"/>
    <mergeCell ref="C54:D54"/>
    <mergeCell ref="C25:D25"/>
    <mergeCell ref="B49:D49"/>
    <mergeCell ref="B40:D40"/>
    <mergeCell ref="C50:D50"/>
    <mergeCell ref="C44:D44"/>
    <mergeCell ref="C75:D75"/>
    <mergeCell ref="B65:D65"/>
    <mergeCell ref="C80:D80"/>
    <mergeCell ref="B24:D24"/>
    <mergeCell ref="B20:D20"/>
    <mergeCell ref="C59:D59"/>
    <mergeCell ref="B33:D33"/>
    <mergeCell ref="C43:D43"/>
    <mergeCell ref="B64:D64"/>
    <mergeCell ref="C46:D46"/>
    <mergeCell ref="C60:D60"/>
    <mergeCell ref="B41:D41"/>
    <mergeCell ref="C51:D51"/>
    <mergeCell ref="C27:D27"/>
    <mergeCell ref="B4:D4"/>
    <mergeCell ref="B32:D32"/>
    <mergeCell ref="C76:D76"/>
    <mergeCell ref="C36:D36"/>
    <mergeCell ref="C61:D61"/>
    <mergeCell ref="C52:D52"/>
    <mergeCell ref="C70:D70"/>
    <mergeCell ref="B7:D7"/>
    <mergeCell ref="C38:D38"/>
    <mergeCell ref="C82:D82"/>
    <mergeCell ref="C67:D67"/>
    <mergeCell ref="B71:D71"/>
    <mergeCell ref="C81:D81"/>
    <mergeCell ref="C37:D37"/>
    <mergeCell ref="B56:D56"/>
    <mergeCell ref="C28:D28"/>
    <mergeCell ref="C66:D66"/>
    <mergeCell ref="B21:D21"/>
    <mergeCell ref="C53:D53"/>
    <mergeCell ref="B48:D48"/>
  </mergeCells>
  <pageMargins left="0.75" right="0.75" top="1" bottom="1" header="0.5" footer="0.5"/>
</worksheet>
</file>

<file path=xl/worksheets/sheet4.xml><?xml version="1.0" encoding="utf-8"?>
<worksheet xmlns="http://schemas.openxmlformats.org/spreadsheetml/2006/main">
  <sheetPr>
    <tabColor rgb="00792E2E"/>
    <outlinePr summaryBelow="1" summaryRight="1"/>
    <pageSetUpPr/>
  </sheetPr>
  <dimension ref="B2:X66"/>
  <sheetViews>
    <sheetView showGridLines="0" tabSelected="0" zoomScale="90" workbookViewId="0">
      <pane xSplit="4" ySplit="6" topLeftCell="E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7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2">
      <c r="B2" s="52" t="inlineStr">
        <is>
          <t>COMPASSUS  ·  HOME HEALTH</t>
        </is>
      </c>
    </row>
    <row r="3" ht="26" customHeight="1">
      <c r="B3" s="63" t="inlineStr">
        <is>
          <t>Follow-up Questions</t>
        </is>
      </c>
    </row>
    <row r="4">
      <c r="B4" s="3" t="inlineStr">
        <is>
          <t>What we make them prove at the demo. Written as the returns come in, in the order the questionnaire asks — so a gap found while scoring lands next to the question that exposed it. Mark the vendors each one applies to.</t>
        </is>
      </c>
    </row>
    <row r="6" ht="40" customHeight="1">
      <c r="B6" s="5" t="inlineStr">
        <is>
          <t>VENDOR</t>
        </is>
      </c>
      <c r="E6" s="6" t="inlineStr">
        <is>
          <t>Vendor 01</t>
        </is>
      </c>
      <c r="F6" s="6" t="inlineStr">
        <is>
          <t>Vendor 02</t>
        </is>
      </c>
      <c r="G6" s="6" t="inlineStr">
        <is>
          <t>Vendor 03</t>
        </is>
      </c>
      <c r="H6" s="6" t="inlineStr">
        <is>
          <t>Vendor 04</t>
        </is>
      </c>
      <c r="I6" s="6" t="inlineStr">
        <is>
          <t>Vendor 05</t>
        </is>
      </c>
      <c r="J6" s="6" t="inlineStr">
        <is>
          <t>Vendor 06</t>
        </is>
      </c>
      <c r="K6" s="6" t="inlineStr">
        <is>
          <t>Vendor 07</t>
        </is>
      </c>
      <c r="L6" s="6" t="inlineStr">
        <is>
          <t>Vendor 08</t>
        </is>
      </c>
      <c r="M6" s="6" t="inlineStr">
        <is>
          <t>Vendor 09</t>
        </is>
      </c>
      <c r="N6" s="6" t="inlineStr">
        <is>
          <t>Vendor 10</t>
        </is>
      </c>
      <c r="O6" s="6" t="inlineStr">
        <is>
          <t>Vendor 11</t>
        </is>
      </c>
      <c r="P6" s="6" t="inlineStr">
        <is>
          <t>Vendor 12</t>
        </is>
      </c>
      <c r="Q6" s="6" t="inlineStr">
        <is>
          <t>Vendor 13</t>
        </is>
      </c>
      <c r="R6" s="6" t="inlineStr">
        <is>
          <t>Vendor 14</t>
        </is>
      </c>
      <c r="S6" s="6" t="inlineStr">
        <is>
          <t>Vendor 15</t>
        </is>
      </c>
      <c r="T6" s="6" t="inlineStr">
        <is>
          <t>Vendor 16</t>
        </is>
      </c>
      <c r="U6" s="6" t="inlineStr">
        <is>
          <t>Vendor 17</t>
        </is>
      </c>
      <c r="V6" s="6" t="inlineStr">
        <is>
          <t>Vendor 18</t>
        </is>
      </c>
      <c r="W6" s="6" t="inlineStr">
        <is>
          <t>Vendor 19</t>
        </is>
      </c>
      <c r="X6" s="6" t="inlineStr">
        <is>
          <t>Vendor 20</t>
        </is>
      </c>
    </row>
    <row r="8" ht="21" customHeight="1">
      <c r="B8" s="27" t="inlineStr">
        <is>
          <t>A  ·  COMPANY AND PRODUCT</t>
        </is>
      </c>
    </row>
    <row r="9" ht="16" customHeight="1">
      <c r="C9" s="3" t="inlineStr">
        <is>
          <t>A1 integration · A2 scale and references · A3 measured impact</t>
        </is>
      </c>
      <c r="D9" s="64" t="inlineStr">
        <is>
          <t>What would prove it</t>
        </is>
      </c>
    </row>
    <row r="10" ht="26" customHeight="1">
      <c r="B10" s="65" t="n"/>
      <c r="C10" s="66" t="n"/>
      <c r="D10" s="67" t="n"/>
      <c r="E10" s="68" t="n"/>
      <c r="F10" s="68" t="n"/>
      <c r="G10" s="68" t="n"/>
      <c r="H10" s="68" t="n"/>
      <c r="I10" s="68" t="n"/>
      <c r="J10" s="68" t="n"/>
      <c r="K10" s="68" t="n"/>
      <c r="L10" s="68" t="n"/>
      <c r="M10" s="68" t="n"/>
      <c r="N10" s="68" t="n"/>
      <c r="O10" s="68" t="n"/>
      <c r="P10" s="68" t="n"/>
      <c r="Q10" s="68" t="n"/>
      <c r="R10" s="68" t="n"/>
      <c r="S10" s="68" t="n"/>
      <c r="T10" s="68" t="n"/>
      <c r="U10" s="68" t="n"/>
      <c r="V10" s="68" t="n"/>
      <c r="W10" s="68" t="n"/>
      <c r="X10" s="68" t="n"/>
    </row>
    <row r="11" ht="26" customHeight="1">
      <c r="B11" s="65" t="n"/>
      <c r="C11" s="66" t="n"/>
      <c r="D11" s="67" t="n"/>
      <c r="E11" s="68" t="n"/>
      <c r="F11" s="68" t="n"/>
      <c r="G11" s="68" t="n"/>
      <c r="H11" s="68" t="n"/>
      <c r="I11" s="68" t="n"/>
      <c r="J11" s="68" t="n"/>
      <c r="K11" s="68" t="n"/>
      <c r="L11" s="68" t="n"/>
      <c r="M11" s="68" t="n"/>
      <c r="N11" s="68" t="n"/>
      <c r="O11" s="68" t="n"/>
      <c r="P11" s="68" t="n"/>
      <c r="Q11" s="68" t="n"/>
      <c r="R11" s="68" t="n"/>
      <c r="S11" s="68" t="n"/>
      <c r="T11" s="68" t="n"/>
      <c r="U11" s="68" t="n"/>
      <c r="V11" s="68" t="n"/>
      <c r="W11" s="68" t="n"/>
      <c r="X11" s="68" t="n"/>
    </row>
    <row r="12" ht="26" customHeight="1">
      <c r="B12" s="65" t="n"/>
      <c r="C12" s="66" t="n"/>
      <c r="D12" s="67" t="n"/>
      <c r="E12" s="68" t="n"/>
      <c r="F12" s="68" t="n"/>
      <c r="G12" s="68" t="n"/>
      <c r="H12" s="68" t="n"/>
      <c r="I12" s="68" t="n"/>
      <c r="J12" s="68" t="n"/>
      <c r="K12" s="68" t="n"/>
      <c r="L12" s="68" t="n"/>
      <c r="M12" s="68" t="n"/>
      <c r="N12" s="68" t="n"/>
      <c r="O12" s="68" t="n"/>
      <c r="P12" s="68" t="n"/>
      <c r="Q12" s="68" t="n"/>
      <c r="R12" s="68" t="n"/>
      <c r="S12" s="68" t="n"/>
      <c r="T12" s="68" t="n"/>
      <c r="U12" s="68" t="n"/>
      <c r="V12" s="68" t="n"/>
      <c r="W12" s="68" t="n"/>
      <c r="X12" s="68" t="n"/>
    </row>
    <row r="13" ht="26" customHeight="1">
      <c r="B13" s="65" t="n"/>
      <c r="C13" s="66" t="n"/>
      <c r="D13" s="67" t="n"/>
      <c r="E13" s="68" t="n"/>
      <c r="F13" s="68" t="n"/>
      <c r="G13" s="68" t="n"/>
      <c r="H13" s="68" t="n"/>
      <c r="I13" s="68" t="n"/>
      <c r="J13" s="68" t="n"/>
      <c r="K13" s="68" t="n"/>
      <c r="L13" s="68" t="n"/>
      <c r="M13" s="68" t="n"/>
      <c r="N13" s="68" t="n"/>
      <c r="O13" s="68" t="n"/>
      <c r="P13" s="68" t="n"/>
      <c r="Q13" s="68" t="n"/>
      <c r="R13" s="68" t="n"/>
      <c r="S13" s="68" t="n"/>
      <c r="T13" s="68" t="n"/>
      <c r="U13" s="68" t="n"/>
      <c r="V13" s="68" t="n"/>
      <c r="W13" s="68" t="n"/>
      <c r="X13" s="68" t="n"/>
    </row>
    <row r="14" ht="26" customHeight="1">
      <c r="B14" s="65" t="n"/>
      <c r="C14" s="66" t="n"/>
      <c r="D14" s="67" t="n"/>
      <c r="E14" s="68" t="n"/>
      <c r="F14" s="68" t="n"/>
      <c r="G14" s="68" t="n"/>
      <c r="H14" s="68" t="n"/>
      <c r="I14" s="68" t="n"/>
      <c r="J14" s="68" t="n"/>
      <c r="K14" s="68" t="n"/>
      <c r="L14" s="68" t="n"/>
      <c r="M14" s="68" t="n"/>
      <c r="N14" s="68" t="n"/>
      <c r="O14" s="68" t="n"/>
      <c r="P14" s="68" t="n"/>
      <c r="Q14" s="68" t="n"/>
      <c r="R14" s="68" t="n"/>
      <c r="S14" s="68" t="n"/>
      <c r="T14" s="68" t="n"/>
      <c r="U14" s="68" t="n"/>
      <c r="V14" s="68" t="n"/>
      <c r="W14" s="68" t="n"/>
      <c r="X14" s="68" t="n"/>
    </row>
    <row r="15" ht="26" customHeight="1">
      <c r="B15" s="65" t="n"/>
      <c r="C15" s="66" t="n"/>
      <c r="D15" s="67"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row>
    <row r="17" ht="21" customHeight="1">
      <c r="B17" s="27" t="inlineStr">
        <is>
          <t>B  ·  COVERAGE SELF-ASSESSMENT</t>
        </is>
      </c>
    </row>
    <row r="18" ht="16" customHeight="1">
      <c r="C18" s="3" t="inlineStr">
        <is>
          <t>Anything they claimed in scope that Section C did not support</t>
        </is>
      </c>
      <c r="D18" s="64" t="inlineStr">
        <is>
          <t>What would prove it</t>
        </is>
      </c>
    </row>
    <row r="19" ht="26" customHeight="1">
      <c r="B19" s="65" t="n"/>
      <c r="C19" s="66" t="n"/>
      <c r="D19" s="67" t="n"/>
      <c r="E19" s="68" t="n"/>
      <c r="F19" s="68" t="n"/>
      <c r="G19" s="68" t="n"/>
      <c r="H19" s="68" t="n"/>
      <c r="I19" s="68" t="n"/>
      <c r="J19" s="68" t="n"/>
      <c r="K19" s="68" t="n"/>
      <c r="L19" s="68" t="n"/>
      <c r="M19" s="68" t="n"/>
      <c r="N19" s="68" t="n"/>
      <c r="O19" s="68" t="n"/>
      <c r="P19" s="68" t="n"/>
      <c r="Q19" s="68" t="n"/>
      <c r="R19" s="68" t="n"/>
      <c r="S19" s="68" t="n"/>
      <c r="T19" s="68" t="n"/>
      <c r="U19" s="68" t="n"/>
      <c r="V19" s="68" t="n"/>
      <c r="W19" s="68" t="n"/>
      <c r="X19" s="68" t="n"/>
    </row>
    <row r="20" ht="26" customHeight="1">
      <c r="B20" s="65" t="n"/>
      <c r="C20" s="66" t="n"/>
      <c r="D20" s="67" t="n"/>
      <c r="E20" s="68" t="n"/>
      <c r="F20" s="68" t="n"/>
      <c r="G20" s="68" t="n"/>
      <c r="H20" s="68" t="n"/>
      <c r="I20" s="68" t="n"/>
      <c r="J20" s="68" t="n"/>
      <c r="K20" s="68" t="n"/>
      <c r="L20" s="68" t="n"/>
      <c r="M20" s="68" t="n"/>
      <c r="N20" s="68" t="n"/>
      <c r="O20" s="68" t="n"/>
      <c r="P20" s="68" t="n"/>
      <c r="Q20" s="68" t="n"/>
      <c r="R20" s="68" t="n"/>
      <c r="S20" s="68" t="n"/>
      <c r="T20" s="68" t="n"/>
      <c r="U20" s="68" t="n"/>
      <c r="V20" s="68" t="n"/>
      <c r="W20" s="68" t="n"/>
      <c r="X20" s="68" t="n"/>
    </row>
    <row r="21" ht="26" customHeight="1">
      <c r="B21" s="65" t="n"/>
      <c r="C21" s="66" t="n"/>
      <c r="D21" s="67" t="n"/>
      <c r="E21" s="68" t="n"/>
      <c r="F21" s="68" t="n"/>
      <c r="G21" s="68" t="n"/>
      <c r="H21" s="68" t="n"/>
      <c r="I21" s="68" t="n"/>
      <c r="J21" s="68" t="n"/>
      <c r="K21" s="68" t="n"/>
      <c r="L21" s="68" t="n"/>
      <c r="M21" s="68" t="n"/>
      <c r="N21" s="68" t="n"/>
      <c r="O21" s="68" t="n"/>
      <c r="P21" s="68" t="n"/>
      <c r="Q21" s="68" t="n"/>
      <c r="R21" s="68" t="n"/>
      <c r="S21" s="68" t="n"/>
      <c r="T21" s="68" t="n"/>
      <c r="U21" s="68" t="n"/>
      <c r="V21" s="68" t="n"/>
      <c r="W21" s="68" t="n"/>
      <c r="X21" s="68" t="n"/>
    </row>
    <row r="22" ht="26" customHeight="1">
      <c r="B22" s="65" t="n"/>
      <c r="C22" s="66" t="n"/>
      <c r="D22" s="67" t="n"/>
      <c r="E22" s="68" t="n"/>
      <c r="F22" s="68" t="n"/>
      <c r="G22" s="68" t="n"/>
      <c r="H22" s="68" t="n"/>
      <c r="I22" s="68" t="n"/>
      <c r="J22" s="68" t="n"/>
      <c r="K22" s="68" t="n"/>
      <c r="L22" s="68" t="n"/>
      <c r="M22" s="68" t="n"/>
      <c r="N22" s="68" t="n"/>
      <c r="O22" s="68" t="n"/>
      <c r="P22" s="68" t="n"/>
      <c r="Q22" s="68" t="n"/>
      <c r="R22" s="68" t="n"/>
      <c r="S22" s="68" t="n"/>
      <c r="T22" s="68" t="n"/>
      <c r="U22" s="68" t="n"/>
      <c r="V22" s="68" t="n"/>
      <c r="W22" s="68" t="n"/>
      <c r="X22" s="68" t="n"/>
    </row>
    <row r="23" ht="26" customHeight="1">
      <c r="B23" s="65" t="n"/>
      <c r="C23" s="66" t="n"/>
      <c r="D23" s="67" t="n"/>
      <c r="E23" s="68" t="n"/>
      <c r="F23" s="68" t="n"/>
      <c r="G23" s="68" t="n"/>
      <c r="H23" s="68" t="n"/>
      <c r="I23" s="68" t="n"/>
      <c r="J23" s="68" t="n"/>
      <c r="K23" s="68" t="n"/>
      <c r="L23" s="68" t="n"/>
      <c r="M23" s="68" t="n"/>
      <c r="N23" s="68" t="n"/>
      <c r="O23" s="68" t="n"/>
      <c r="P23" s="68" t="n"/>
      <c r="Q23" s="68" t="n"/>
      <c r="R23" s="68" t="n"/>
      <c r="S23" s="68" t="n"/>
      <c r="T23" s="68" t="n"/>
      <c r="U23" s="68" t="n"/>
      <c r="V23" s="68" t="n"/>
      <c r="W23" s="68" t="n"/>
      <c r="X23" s="68" t="n"/>
    </row>
    <row r="24" ht="26" customHeight="1">
      <c r="B24" s="65" t="n"/>
      <c r="C24" s="66" t="n"/>
      <c r="D24" s="67" t="n"/>
      <c r="E24" s="68" t="n"/>
      <c r="F24" s="68" t="n"/>
      <c r="G24" s="68" t="n"/>
      <c r="H24" s="68" t="n"/>
      <c r="I24" s="68" t="n"/>
      <c r="J24" s="68" t="n"/>
      <c r="K24" s="68" t="n"/>
      <c r="L24" s="68" t="n"/>
      <c r="M24" s="68" t="n"/>
      <c r="N24" s="68" t="n"/>
      <c r="O24" s="68" t="n"/>
      <c r="P24" s="68" t="n"/>
      <c r="Q24" s="68" t="n"/>
      <c r="R24" s="68" t="n"/>
      <c r="S24" s="68" t="n"/>
      <c r="T24" s="68" t="n"/>
      <c r="U24" s="68" t="n"/>
      <c r="V24" s="68" t="n"/>
      <c r="W24" s="68" t="n"/>
      <c r="X24" s="68" t="n"/>
    </row>
    <row r="25" ht="26" customHeight="1">
      <c r="B25" s="65" t="n"/>
      <c r="C25" s="66" t="n"/>
      <c r="D25" s="67" t="n"/>
      <c r="E25" s="68" t="n"/>
      <c r="F25" s="68" t="n"/>
      <c r="G25" s="68" t="n"/>
      <c r="H25" s="68" t="n"/>
      <c r="I25" s="68" t="n"/>
      <c r="J25" s="68" t="n"/>
      <c r="K25" s="68" t="n"/>
      <c r="L25" s="68" t="n"/>
      <c r="M25" s="68" t="n"/>
      <c r="N25" s="68" t="n"/>
      <c r="O25" s="68" t="n"/>
      <c r="P25" s="68" t="n"/>
      <c r="Q25" s="68" t="n"/>
      <c r="R25" s="68" t="n"/>
      <c r="S25" s="68" t="n"/>
      <c r="T25" s="68" t="n"/>
      <c r="U25" s="68" t="n"/>
      <c r="V25" s="68" t="n"/>
      <c r="W25" s="68" t="n"/>
      <c r="X25" s="68" t="n"/>
    </row>
    <row r="26" ht="26" customHeight="1">
      <c r="B26" s="65" t="n"/>
      <c r="C26" s="66" t="n"/>
      <c r="D26" s="67" t="n"/>
      <c r="E26" s="68" t="n"/>
      <c r="F26" s="68" t="n"/>
      <c r="G26" s="68" t="n"/>
      <c r="H26" s="68" t="n"/>
      <c r="I26" s="68" t="n"/>
      <c r="J26" s="68" t="n"/>
      <c r="K26" s="68" t="n"/>
      <c r="L26" s="68" t="n"/>
      <c r="M26" s="68" t="n"/>
      <c r="N26" s="68" t="n"/>
      <c r="O26" s="68" t="n"/>
      <c r="P26" s="68" t="n"/>
      <c r="Q26" s="68" t="n"/>
      <c r="R26" s="68" t="n"/>
      <c r="S26" s="68" t="n"/>
      <c r="T26" s="68" t="n"/>
      <c r="U26" s="68" t="n"/>
      <c r="V26" s="68" t="n"/>
      <c r="W26" s="68" t="n"/>
      <c r="X26" s="68" t="n"/>
    </row>
    <row r="28" ht="21" customHeight="1">
      <c r="B28" s="27" t="inlineStr">
        <is>
          <t>C  ·  HOW YOUR PRODUCT WORKS</t>
        </is>
      </c>
    </row>
    <row r="29" ht="16" customHeight="1">
      <c r="C29" s="3" t="inlineStr">
        <is>
          <t>C1 capacity · C2 assignment · C3 readiness · C4 the week · C5 recovery · C6 downtime · C7 the patient</t>
        </is>
      </c>
      <c r="D29" s="64" t="inlineStr">
        <is>
          <t>What would prove it</t>
        </is>
      </c>
    </row>
    <row r="30" ht="26" customHeight="1">
      <c r="B30" s="65" t="n"/>
      <c r="C30" s="66" t="n"/>
      <c r="D30" s="67" t="n"/>
      <c r="E30" s="68" t="n"/>
      <c r="F30" s="68" t="n"/>
      <c r="G30" s="68" t="n"/>
      <c r="H30" s="68" t="n"/>
      <c r="I30" s="68" t="n"/>
      <c r="J30" s="68" t="n"/>
      <c r="K30" s="68" t="n"/>
      <c r="L30" s="68" t="n"/>
      <c r="M30" s="68" t="n"/>
      <c r="N30" s="68" t="n"/>
      <c r="O30" s="68" t="n"/>
      <c r="P30" s="68" t="n"/>
      <c r="Q30" s="68" t="n"/>
      <c r="R30" s="68" t="n"/>
      <c r="S30" s="68" t="n"/>
      <c r="T30" s="68" t="n"/>
      <c r="U30" s="68" t="n"/>
      <c r="V30" s="68" t="n"/>
      <c r="W30" s="68" t="n"/>
      <c r="X30" s="68" t="n"/>
    </row>
    <row r="31" ht="26" customHeight="1">
      <c r="B31" s="65" t="n"/>
      <c r="C31" s="66" t="n"/>
      <c r="D31" s="67" t="n"/>
      <c r="E31" s="68" t="n"/>
      <c r="F31" s="68" t="n"/>
      <c r="G31" s="68" t="n"/>
      <c r="H31" s="68" t="n"/>
      <c r="I31" s="68" t="n"/>
      <c r="J31" s="68" t="n"/>
      <c r="K31" s="68" t="n"/>
      <c r="L31" s="68" t="n"/>
      <c r="M31" s="68" t="n"/>
      <c r="N31" s="68" t="n"/>
      <c r="O31" s="68" t="n"/>
      <c r="P31" s="68" t="n"/>
      <c r="Q31" s="68" t="n"/>
      <c r="R31" s="68" t="n"/>
      <c r="S31" s="68" t="n"/>
      <c r="T31" s="68" t="n"/>
      <c r="U31" s="68" t="n"/>
      <c r="V31" s="68" t="n"/>
      <c r="W31" s="68" t="n"/>
      <c r="X31" s="68" t="n"/>
    </row>
    <row r="32" ht="26" customHeight="1">
      <c r="B32" s="65" t="n"/>
      <c r="C32" s="66" t="n"/>
      <c r="D32" s="67" t="n"/>
      <c r="E32" s="68" t="n"/>
      <c r="F32" s="68" t="n"/>
      <c r="G32" s="68" t="n"/>
      <c r="H32" s="68" t="n"/>
      <c r="I32" s="68" t="n"/>
      <c r="J32" s="68" t="n"/>
      <c r="K32" s="68" t="n"/>
      <c r="L32" s="68" t="n"/>
      <c r="M32" s="68" t="n"/>
      <c r="N32" s="68" t="n"/>
      <c r="O32" s="68" t="n"/>
      <c r="P32" s="68" t="n"/>
      <c r="Q32" s="68" t="n"/>
      <c r="R32" s="68" t="n"/>
      <c r="S32" s="68" t="n"/>
      <c r="T32" s="68" t="n"/>
      <c r="U32" s="68" t="n"/>
      <c r="V32" s="68" t="n"/>
      <c r="W32" s="68" t="n"/>
      <c r="X32" s="68" t="n"/>
    </row>
    <row r="33" ht="26" customHeight="1">
      <c r="B33" s="65" t="n"/>
      <c r="C33" s="66" t="n"/>
      <c r="D33" s="67" t="n"/>
      <c r="E33" s="68" t="n"/>
      <c r="F33" s="68" t="n"/>
      <c r="G33" s="68" t="n"/>
      <c r="H33" s="68" t="n"/>
      <c r="I33" s="68" t="n"/>
      <c r="J33" s="68" t="n"/>
      <c r="K33" s="68" t="n"/>
      <c r="L33" s="68" t="n"/>
      <c r="M33" s="68" t="n"/>
      <c r="N33" s="68" t="n"/>
      <c r="O33" s="68" t="n"/>
      <c r="P33" s="68" t="n"/>
      <c r="Q33" s="68" t="n"/>
      <c r="R33" s="68" t="n"/>
      <c r="S33" s="68" t="n"/>
      <c r="T33" s="68" t="n"/>
      <c r="U33" s="68" t="n"/>
      <c r="V33" s="68" t="n"/>
      <c r="W33" s="68" t="n"/>
      <c r="X33" s="68" t="n"/>
    </row>
    <row r="34" ht="26" customHeight="1">
      <c r="B34" s="65" t="n"/>
      <c r="C34" s="66" t="n"/>
      <c r="D34" s="67" t="n"/>
      <c r="E34" s="68" t="n"/>
      <c r="F34" s="68" t="n"/>
      <c r="G34" s="68" t="n"/>
      <c r="H34" s="68" t="n"/>
      <c r="I34" s="68" t="n"/>
      <c r="J34" s="68" t="n"/>
      <c r="K34" s="68" t="n"/>
      <c r="L34" s="68" t="n"/>
      <c r="M34" s="68" t="n"/>
      <c r="N34" s="68" t="n"/>
      <c r="O34" s="68" t="n"/>
      <c r="P34" s="68" t="n"/>
      <c r="Q34" s="68" t="n"/>
      <c r="R34" s="68" t="n"/>
      <c r="S34" s="68" t="n"/>
      <c r="T34" s="68" t="n"/>
      <c r="U34" s="68" t="n"/>
      <c r="V34" s="68" t="n"/>
      <c r="W34" s="68" t="n"/>
      <c r="X34" s="68" t="n"/>
    </row>
    <row r="35" ht="26" customHeight="1">
      <c r="B35" s="65" t="n"/>
      <c r="C35" s="66" t="n"/>
      <c r="D35" s="67" t="n"/>
      <c r="E35" s="68" t="n"/>
      <c r="F35" s="68" t="n"/>
      <c r="G35" s="68" t="n"/>
      <c r="H35" s="68" t="n"/>
      <c r="I35" s="68" t="n"/>
      <c r="J35" s="68" t="n"/>
      <c r="K35" s="68" t="n"/>
      <c r="L35" s="68" t="n"/>
      <c r="M35" s="68" t="n"/>
      <c r="N35" s="68" t="n"/>
      <c r="O35" s="68" t="n"/>
      <c r="P35" s="68" t="n"/>
      <c r="Q35" s="68" t="n"/>
      <c r="R35" s="68" t="n"/>
      <c r="S35" s="68" t="n"/>
      <c r="T35" s="68" t="n"/>
      <c r="U35" s="68" t="n"/>
      <c r="V35" s="68" t="n"/>
      <c r="W35" s="68" t="n"/>
      <c r="X35" s="68" t="n"/>
    </row>
    <row r="36" ht="26" customHeight="1">
      <c r="B36" s="65" t="n"/>
      <c r="C36" s="66" t="n"/>
      <c r="D36" s="67" t="n"/>
      <c r="E36" s="68" t="n"/>
      <c r="F36" s="68" t="n"/>
      <c r="G36" s="68" t="n"/>
      <c r="H36" s="68" t="n"/>
      <c r="I36" s="68" t="n"/>
      <c r="J36" s="68" t="n"/>
      <c r="K36" s="68" t="n"/>
      <c r="L36" s="68" t="n"/>
      <c r="M36" s="68" t="n"/>
      <c r="N36" s="68" t="n"/>
      <c r="O36" s="68" t="n"/>
      <c r="P36" s="68" t="n"/>
      <c r="Q36" s="68" t="n"/>
      <c r="R36" s="68" t="n"/>
      <c r="S36" s="68" t="n"/>
      <c r="T36" s="68" t="n"/>
      <c r="U36" s="68" t="n"/>
      <c r="V36" s="68" t="n"/>
      <c r="W36" s="68" t="n"/>
      <c r="X36" s="68" t="n"/>
    </row>
    <row r="37" ht="26" customHeight="1">
      <c r="B37" s="65" t="n"/>
      <c r="C37" s="66" t="n"/>
      <c r="D37" s="67" t="n"/>
      <c r="E37" s="68" t="n"/>
      <c r="F37" s="68" t="n"/>
      <c r="G37" s="68" t="n"/>
      <c r="H37" s="68" t="n"/>
      <c r="I37" s="68" t="n"/>
      <c r="J37" s="68" t="n"/>
      <c r="K37" s="68" t="n"/>
      <c r="L37" s="68" t="n"/>
      <c r="M37" s="68" t="n"/>
      <c r="N37" s="68" t="n"/>
      <c r="O37" s="68" t="n"/>
      <c r="P37" s="68" t="n"/>
      <c r="Q37" s="68" t="n"/>
      <c r="R37" s="68" t="n"/>
      <c r="S37" s="68" t="n"/>
      <c r="T37" s="68" t="n"/>
      <c r="U37" s="68" t="n"/>
      <c r="V37" s="68" t="n"/>
      <c r="W37" s="68" t="n"/>
      <c r="X37" s="68" t="n"/>
    </row>
    <row r="38" ht="26" customHeight="1">
      <c r="B38" s="65" t="n"/>
      <c r="C38" s="66" t="n"/>
      <c r="D38" s="67" t="n"/>
      <c r="E38" s="68" t="n"/>
      <c r="F38" s="68" t="n"/>
      <c r="G38" s="68" t="n"/>
      <c r="H38" s="68" t="n"/>
      <c r="I38" s="68" t="n"/>
      <c r="J38" s="68" t="n"/>
      <c r="K38" s="68" t="n"/>
      <c r="L38" s="68" t="n"/>
      <c r="M38" s="68" t="n"/>
      <c r="N38" s="68" t="n"/>
      <c r="O38" s="68" t="n"/>
      <c r="P38" s="68" t="n"/>
      <c r="Q38" s="68" t="n"/>
      <c r="R38" s="68" t="n"/>
      <c r="S38" s="68" t="n"/>
      <c r="T38" s="68" t="n"/>
      <c r="U38" s="68" t="n"/>
      <c r="V38" s="68" t="n"/>
      <c r="W38" s="68" t="n"/>
      <c r="X38" s="68" t="n"/>
    </row>
    <row r="39" ht="26" customHeight="1">
      <c r="B39" s="65" t="n"/>
      <c r="C39" s="66" t="n"/>
      <c r="D39" s="67" t="n"/>
      <c r="E39" s="68" t="n"/>
      <c r="F39" s="68" t="n"/>
      <c r="G39" s="68" t="n"/>
      <c r="H39" s="68" t="n"/>
      <c r="I39" s="68" t="n"/>
      <c r="J39" s="68" t="n"/>
      <c r="K39" s="68" t="n"/>
      <c r="L39" s="68" t="n"/>
      <c r="M39" s="68" t="n"/>
      <c r="N39" s="68" t="n"/>
      <c r="O39" s="68" t="n"/>
      <c r="P39" s="68" t="n"/>
      <c r="Q39" s="68" t="n"/>
      <c r="R39" s="68" t="n"/>
      <c r="S39" s="68" t="n"/>
      <c r="T39" s="68" t="n"/>
      <c r="U39" s="68" t="n"/>
      <c r="V39" s="68" t="n"/>
      <c r="W39" s="68" t="n"/>
      <c r="X39" s="68" t="n"/>
    </row>
    <row r="41" ht="21" customHeight="1">
      <c r="B41" s="27" t="inlineStr">
        <is>
          <t>D  ·  THE CLINICIAN'S PLACE</t>
        </is>
      </c>
    </row>
    <row r="42" ht="16" customHeight="1">
      <c r="C42" s="3" t="inlineStr">
        <is>
          <t>D1 what they decide · D2 decide or advise · D3 adoption</t>
        </is>
      </c>
      <c r="D42" s="64" t="inlineStr">
        <is>
          <t>What would prove it</t>
        </is>
      </c>
    </row>
    <row r="43" ht="26" customHeight="1">
      <c r="B43" s="65" t="n"/>
      <c r="C43" s="66" t="n"/>
      <c r="D43" s="67" t="n"/>
      <c r="E43" s="68" t="n"/>
      <c r="F43" s="68" t="n"/>
      <c r="G43" s="68" t="n"/>
      <c r="H43" s="68" t="n"/>
      <c r="I43" s="68" t="n"/>
      <c r="J43" s="68" t="n"/>
      <c r="K43" s="68" t="n"/>
      <c r="L43" s="68" t="n"/>
      <c r="M43" s="68" t="n"/>
      <c r="N43" s="68" t="n"/>
      <c r="O43" s="68" t="n"/>
      <c r="P43" s="68" t="n"/>
      <c r="Q43" s="68" t="n"/>
      <c r="R43" s="68" t="n"/>
      <c r="S43" s="68" t="n"/>
      <c r="T43" s="68" t="n"/>
      <c r="U43" s="68" t="n"/>
      <c r="V43" s="68" t="n"/>
      <c r="W43" s="68" t="n"/>
      <c r="X43" s="68" t="n"/>
    </row>
    <row r="44" ht="26" customHeight="1">
      <c r="B44" s="65" t="n"/>
      <c r="C44" s="66" t="n"/>
      <c r="D44" s="67" t="n"/>
      <c r="E44" s="68" t="n"/>
      <c r="F44" s="68" t="n"/>
      <c r="G44" s="68" t="n"/>
      <c r="H44" s="68" t="n"/>
      <c r="I44" s="68" t="n"/>
      <c r="J44" s="68" t="n"/>
      <c r="K44" s="68" t="n"/>
      <c r="L44" s="68" t="n"/>
      <c r="M44" s="68" t="n"/>
      <c r="N44" s="68" t="n"/>
      <c r="O44" s="68" t="n"/>
      <c r="P44" s="68" t="n"/>
      <c r="Q44" s="68" t="n"/>
      <c r="R44" s="68" t="n"/>
      <c r="S44" s="68" t="n"/>
      <c r="T44" s="68" t="n"/>
      <c r="U44" s="68" t="n"/>
      <c r="V44" s="68" t="n"/>
      <c r="W44" s="68" t="n"/>
      <c r="X44" s="68" t="n"/>
    </row>
    <row r="45" ht="26" customHeight="1">
      <c r="B45" s="65" t="n"/>
      <c r="C45" s="66" t="n"/>
      <c r="D45" s="67" t="n"/>
      <c r="E45" s="68" t="n"/>
      <c r="F45" s="68" t="n"/>
      <c r="G45" s="68" t="n"/>
      <c r="H45" s="68" t="n"/>
      <c r="I45" s="68" t="n"/>
      <c r="J45" s="68" t="n"/>
      <c r="K45" s="68" t="n"/>
      <c r="L45" s="68" t="n"/>
      <c r="M45" s="68" t="n"/>
      <c r="N45" s="68" t="n"/>
      <c r="O45" s="68" t="n"/>
      <c r="P45" s="68" t="n"/>
      <c r="Q45" s="68" t="n"/>
      <c r="R45" s="68" t="n"/>
      <c r="S45" s="68" t="n"/>
      <c r="T45" s="68" t="n"/>
      <c r="U45" s="68" t="n"/>
      <c r="V45" s="68" t="n"/>
      <c r="W45" s="68" t="n"/>
      <c r="X45" s="68" t="n"/>
    </row>
    <row r="46" ht="26" customHeight="1">
      <c r="B46" s="65" t="n"/>
      <c r="C46" s="66" t="n"/>
      <c r="D46" s="67" t="n"/>
      <c r="E46" s="68" t="n"/>
      <c r="F46" s="68" t="n"/>
      <c r="G46" s="68" t="n"/>
      <c r="H46" s="68" t="n"/>
      <c r="I46" s="68" t="n"/>
      <c r="J46" s="68" t="n"/>
      <c r="K46" s="68" t="n"/>
      <c r="L46" s="68" t="n"/>
      <c r="M46" s="68" t="n"/>
      <c r="N46" s="68" t="n"/>
      <c r="O46" s="68" t="n"/>
      <c r="P46" s="68" t="n"/>
      <c r="Q46" s="68" t="n"/>
      <c r="R46" s="68" t="n"/>
      <c r="S46" s="68" t="n"/>
      <c r="T46" s="68" t="n"/>
      <c r="U46" s="68" t="n"/>
      <c r="V46" s="68" t="n"/>
      <c r="W46" s="68" t="n"/>
      <c r="X46" s="68" t="n"/>
    </row>
    <row r="47" ht="26" customHeight="1">
      <c r="B47" s="65" t="n"/>
      <c r="C47" s="66" t="n"/>
      <c r="D47" s="67" t="n"/>
      <c r="E47" s="68" t="n"/>
      <c r="F47" s="68" t="n"/>
      <c r="G47" s="68" t="n"/>
      <c r="H47" s="68" t="n"/>
      <c r="I47" s="68" t="n"/>
      <c r="J47" s="68" t="n"/>
      <c r="K47" s="68" t="n"/>
      <c r="L47" s="68" t="n"/>
      <c r="M47" s="68" t="n"/>
      <c r="N47" s="68" t="n"/>
      <c r="O47" s="68" t="n"/>
      <c r="P47" s="68" t="n"/>
      <c r="Q47" s="68" t="n"/>
      <c r="R47" s="68" t="n"/>
      <c r="S47" s="68" t="n"/>
      <c r="T47" s="68" t="n"/>
      <c r="U47" s="68" t="n"/>
      <c r="V47" s="68" t="n"/>
      <c r="W47" s="68" t="n"/>
      <c r="X47" s="68" t="n"/>
    </row>
    <row r="48" ht="26" customHeight="1">
      <c r="B48" s="65" t="n"/>
      <c r="C48" s="66" t="n"/>
      <c r="D48" s="67" t="n"/>
      <c r="E48" s="68" t="n"/>
      <c r="F48" s="68" t="n"/>
      <c r="G48" s="68" t="n"/>
      <c r="H48" s="68" t="n"/>
      <c r="I48" s="68" t="n"/>
      <c r="J48" s="68" t="n"/>
      <c r="K48" s="68" t="n"/>
      <c r="L48" s="68" t="n"/>
      <c r="M48" s="68" t="n"/>
      <c r="N48" s="68" t="n"/>
      <c r="O48" s="68" t="n"/>
      <c r="P48" s="68" t="n"/>
      <c r="Q48" s="68" t="n"/>
      <c r="R48" s="68" t="n"/>
      <c r="S48" s="68" t="n"/>
      <c r="T48" s="68" t="n"/>
      <c r="U48" s="68" t="n"/>
      <c r="V48" s="68" t="n"/>
      <c r="W48" s="68" t="n"/>
      <c r="X48" s="68" t="n"/>
    </row>
    <row r="50" ht="21" customHeight="1">
      <c r="B50" s="27" t="inlineStr">
        <is>
          <t>E  ·  FIT AND PARTNERSHIP</t>
        </is>
      </c>
    </row>
    <row r="51" ht="16" customHeight="1">
      <c r="C51" s="3" t="inlineStr">
        <is>
          <t>E1 what we did not ask · E2 sharing the value · E3 change management · E4 what they chose not to build</t>
        </is>
      </c>
      <c r="D51" s="64" t="inlineStr">
        <is>
          <t>What would prove it</t>
        </is>
      </c>
    </row>
    <row r="52" ht="26" customHeight="1">
      <c r="B52" s="65" t="n"/>
      <c r="C52" s="66" t="n"/>
      <c r="D52" s="67" t="n"/>
      <c r="E52" s="68" t="n"/>
      <c r="F52" s="68" t="n"/>
      <c r="G52" s="68" t="n"/>
      <c r="H52" s="68" t="n"/>
      <c r="I52" s="68" t="n"/>
      <c r="J52" s="68" t="n"/>
      <c r="K52" s="68" t="n"/>
      <c r="L52" s="68" t="n"/>
      <c r="M52" s="68" t="n"/>
      <c r="N52" s="68" t="n"/>
      <c r="O52" s="68" t="n"/>
      <c r="P52" s="68" t="n"/>
      <c r="Q52" s="68" t="n"/>
      <c r="R52" s="68" t="n"/>
      <c r="S52" s="68" t="n"/>
      <c r="T52" s="68" t="n"/>
      <c r="U52" s="68" t="n"/>
      <c r="V52" s="68" t="n"/>
      <c r="W52" s="68" t="n"/>
      <c r="X52" s="68" t="n"/>
    </row>
    <row r="53" ht="26" customHeight="1">
      <c r="B53" s="65" t="n"/>
      <c r="C53" s="66" t="n"/>
      <c r="D53" s="67" t="n"/>
      <c r="E53" s="68" t="n"/>
      <c r="F53" s="68" t="n"/>
      <c r="G53" s="68" t="n"/>
      <c r="H53" s="68" t="n"/>
      <c r="I53" s="68" t="n"/>
      <c r="J53" s="68" t="n"/>
      <c r="K53" s="68" t="n"/>
      <c r="L53" s="68" t="n"/>
      <c r="M53" s="68" t="n"/>
      <c r="N53" s="68" t="n"/>
      <c r="O53" s="68" t="n"/>
      <c r="P53" s="68" t="n"/>
      <c r="Q53" s="68" t="n"/>
      <c r="R53" s="68" t="n"/>
      <c r="S53" s="68" t="n"/>
      <c r="T53" s="68" t="n"/>
      <c r="U53" s="68" t="n"/>
      <c r="V53" s="68" t="n"/>
      <c r="W53" s="68" t="n"/>
      <c r="X53" s="68" t="n"/>
    </row>
    <row r="54" ht="26" customHeight="1">
      <c r="B54" s="65" t="n"/>
      <c r="C54" s="66" t="n"/>
      <c r="D54" s="67" t="n"/>
      <c r="E54" s="68" t="n"/>
      <c r="F54" s="68" t="n"/>
      <c r="G54" s="68" t="n"/>
      <c r="H54" s="68" t="n"/>
      <c r="I54" s="68" t="n"/>
      <c r="J54" s="68" t="n"/>
      <c r="K54" s="68" t="n"/>
      <c r="L54" s="68" t="n"/>
      <c r="M54" s="68" t="n"/>
      <c r="N54" s="68" t="n"/>
      <c r="O54" s="68" t="n"/>
      <c r="P54" s="68" t="n"/>
      <c r="Q54" s="68" t="n"/>
      <c r="R54" s="68" t="n"/>
      <c r="S54" s="68" t="n"/>
      <c r="T54" s="68" t="n"/>
      <c r="U54" s="68" t="n"/>
      <c r="V54" s="68" t="n"/>
      <c r="W54" s="68" t="n"/>
      <c r="X54" s="68" t="n"/>
    </row>
    <row r="55" ht="26" customHeight="1">
      <c r="B55" s="65" t="n"/>
      <c r="C55" s="66" t="n"/>
      <c r="D55" s="67" t="n"/>
      <c r="E55" s="68" t="n"/>
      <c r="F55" s="68" t="n"/>
      <c r="G55" s="68" t="n"/>
      <c r="H55" s="68" t="n"/>
      <c r="I55" s="68" t="n"/>
      <c r="J55" s="68" t="n"/>
      <c r="K55" s="68" t="n"/>
      <c r="L55" s="68" t="n"/>
      <c r="M55" s="68" t="n"/>
      <c r="N55" s="68" t="n"/>
      <c r="O55" s="68" t="n"/>
      <c r="P55" s="68" t="n"/>
      <c r="Q55" s="68" t="n"/>
      <c r="R55" s="68" t="n"/>
      <c r="S55" s="68" t="n"/>
      <c r="T55" s="68" t="n"/>
      <c r="U55" s="68" t="n"/>
      <c r="V55" s="68" t="n"/>
      <c r="W55" s="68" t="n"/>
      <c r="X55" s="68" t="n"/>
    </row>
    <row r="56" ht="26" customHeight="1">
      <c r="B56" s="65" t="n"/>
      <c r="C56" s="66" t="n"/>
      <c r="D56" s="67" t="n"/>
      <c r="E56" s="68" t="n"/>
      <c r="F56" s="68" t="n"/>
      <c r="G56" s="68" t="n"/>
      <c r="H56" s="68" t="n"/>
      <c r="I56" s="68" t="n"/>
      <c r="J56" s="68" t="n"/>
      <c r="K56" s="68" t="n"/>
      <c r="L56" s="68" t="n"/>
      <c r="M56" s="68" t="n"/>
      <c r="N56" s="68" t="n"/>
      <c r="O56" s="68" t="n"/>
      <c r="P56" s="68" t="n"/>
      <c r="Q56" s="68" t="n"/>
      <c r="R56" s="68" t="n"/>
      <c r="S56" s="68" t="n"/>
      <c r="T56" s="68" t="n"/>
      <c r="U56" s="68" t="n"/>
      <c r="V56" s="68" t="n"/>
      <c r="W56" s="68" t="n"/>
      <c r="X56" s="68" t="n"/>
    </row>
    <row r="57" ht="26" customHeight="1">
      <c r="B57" s="65" t="n"/>
      <c r="C57" s="66" t="n"/>
      <c r="D57" s="67" t="n"/>
      <c r="E57" s="68" t="n"/>
      <c r="F57" s="68" t="n"/>
      <c r="G57" s="68" t="n"/>
      <c r="H57" s="68" t="n"/>
      <c r="I57" s="68" t="n"/>
      <c r="J57" s="68" t="n"/>
      <c r="K57" s="68" t="n"/>
      <c r="L57" s="68" t="n"/>
      <c r="M57" s="68" t="n"/>
      <c r="N57" s="68" t="n"/>
      <c r="O57" s="68" t="n"/>
      <c r="P57" s="68" t="n"/>
      <c r="Q57" s="68" t="n"/>
      <c r="R57" s="68" t="n"/>
      <c r="S57" s="68" t="n"/>
      <c r="T57" s="68" t="n"/>
      <c r="U57" s="68" t="n"/>
      <c r="V57" s="68" t="n"/>
      <c r="W57" s="68" t="n"/>
      <c r="X57" s="68" t="n"/>
    </row>
    <row r="59" ht="21" customHeight="1">
      <c r="B59" s="27" t="inlineStr">
        <is>
          <t>INTANGIBLES</t>
        </is>
      </c>
    </row>
    <row r="60" ht="16" customHeight="1">
      <c r="C60" s="3" t="inlineStr">
        <is>
          <t>Anything the feel section raised that a demo could settle</t>
        </is>
      </c>
      <c r="D60" s="64" t="inlineStr">
        <is>
          <t>What would prove it</t>
        </is>
      </c>
    </row>
    <row r="61" ht="26" customHeight="1">
      <c r="B61" s="65" t="n"/>
      <c r="C61" s="66" t="n"/>
      <c r="D61" s="67" t="n"/>
      <c r="E61" s="68" t="n"/>
      <c r="F61" s="68" t="n"/>
      <c r="G61" s="68" t="n"/>
      <c r="H61" s="68" t="n"/>
      <c r="I61" s="68" t="n"/>
      <c r="J61" s="68" t="n"/>
      <c r="K61" s="68" t="n"/>
      <c r="L61" s="68" t="n"/>
      <c r="M61" s="68" t="n"/>
      <c r="N61" s="68" t="n"/>
      <c r="O61" s="68" t="n"/>
      <c r="P61" s="68" t="n"/>
      <c r="Q61" s="68" t="n"/>
      <c r="R61" s="68" t="n"/>
      <c r="S61" s="68" t="n"/>
      <c r="T61" s="68" t="n"/>
      <c r="U61" s="68" t="n"/>
      <c r="V61" s="68" t="n"/>
      <c r="W61" s="68" t="n"/>
      <c r="X61" s="68" t="n"/>
    </row>
    <row r="62" ht="26" customHeight="1">
      <c r="B62" s="65" t="n"/>
      <c r="C62" s="66" t="n"/>
      <c r="D62" s="67" t="n"/>
      <c r="E62" s="68" t="n"/>
      <c r="F62" s="68" t="n"/>
      <c r="G62" s="68" t="n"/>
      <c r="H62" s="68" t="n"/>
      <c r="I62" s="68" t="n"/>
      <c r="J62" s="68" t="n"/>
      <c r="K62" s="68" t="n"/>
      <c r="L62" s="68" t="n"/>
      <c r="M62" s="68" t="n"/>
      <c r="N62" s="68" t="n"/>
      <c r="O62" s="68" t="n"/>
      <c r="P62" s="68" t="n"/>
      <c r="Q62" s="68" t="n"/>
      <c r="R62" s="68" t="n"/>
      <c r="S62" s="68" t="n"/>
      <c r="T62" s="68" t="n"/>
      <c r="U62" s="68" t="n"/>
      <c r="V62" s="68" t="n"/>
      <c r="W62" s="68" t="n"/>
      <c r="X62" s="68" t="n"/>
    </row>
    <row r="63" ht="26" customHeight="1">
      <c r="B63" s="65" t="n"/>
      <c r="C63" s="66" t="n"/>
      <c r="D63" s="67" t="n"/>
      <c r="E63" s="68" t="n"/>
      <c r="F63" s="68" t="n"/>
      <c r="G63" s="68" t="n"/>
      <c r="H63" s="68" t="n"/>
      <c r="I63" s="68" t="n"/>
      <c r="J63" s="68" t="n"/>
      <c r="K63" s="68" t="n"/>
      <c r="L63" s="68" t="n"/>
      <c r="M63" s="68" t="n"/>
      <c r="N63" s="68" t="n"/>
      <c r="O63" s="68" t="n"/>
      <c r="P63" s="68" t="n"/>
      <c r="Q63" s="68" t="n"/>
      <c r="R63" s="68" t="n"/>
      <c r="S63" s="68" t="n"/>
      <c r="T63" s="68" t="n"/>
      <c r="U63" s="68" t="n"/>
      <c r="V63" s="68" t="n"/>
      <c r="W63" s="68" t="n"/>
      <c r="X63" s="68" t="n"/>
    </row>
    <row r="64" ht="26" customHeight="1">
      <c r="B64" s="65" t="n"/>
      <c r="C64" s="66" t="n"/>
      <c r="D64" s="67" t="n"/>
      <c r="E64" s="68" t="n"/>
      <c r="F64" s="68" t="n"/>
      <c r="G64" s="68" t="n"/>
      <c r="H64" s="68" t="n"/>
      <c r="I64" s="68" t="n"/>
      <c r="J64" s="68" t="n"/>
      <c r="K64" s="68" t="n"/>
      <c r="L64" s="68" t="n"/>
      <c r="M64" s="68" t="n"/>
      <c r="N64" s="68" t="n"/>
      <c r="O64" s="68" t="n"/>
      <c r="P64" s="68" t="n"/>
      <c r="Q64" s="68" t="n"/>
      <c r="R64" s="68" t="n"/>
      <c r="S64" s="68" t="n"/>
      <c r="T64" s="68" t="n"/>
      <c r="U64" s="68" t="n"/>
      <c r="V64" s="68" t="n"/>
      <c r="W64" s="68" t="n"/>
      <c r="X64" s="68" t="n"/>
    </row>
    <row r="65" ht="26" customHeight="1">
      <c r="B65" s="65" t="n"/>
      <c r="C65" s="66" t="n"/>
      <c r="D65" s="67" t="n"/>
      <c r="E65" s="68" t="n"/>
      <c r="F65" s="68" t="n"/>
      <c r="G65" s="68" t="n"/>
      <c r="H65" s="68" t="n"/>
      <c r="I65" s="68" t="n"/>
      <c r="J65" s="68" t="n"/>
      <c r="K65" s="68" t="n"/>
      <c r="L65" s="68" t="n"/>
      <c r="M65" s="68" t="n"/>
      <c r="N65" s="68" t="n"/>
      <c r="O65" s="68" t="n"/>
      <c r="P65" s="68" t="n"/>
      <c r="Q65" s="68" t="n"/>
      <c r="R65" s="68" t="n"/>
      <c r="S65" s="68" t="n"/>
      <c r="T65" s="68" t="n"/>
      <c r="U65" s="68" t="n"/>
      <c r="V65" s="68" t="n"/>
      <c r="W65" s="68" t="n"/>
      <c r="X65" s="68" t="n"/>
    </row>
    <row r="66" ht="26" customHeight="1">
      <c r="B66" s="65" t="n"/>
      <c r="C66" s="66" t="n"/>
      <c r="D66" s="67" t="n"/>
      <c r="E66" s="68" t="n"/>
      <c r="F66" s="68" t="n"/>
      <c r="G66" s="68" t="n"/>
      <c r="H66" s="68" t="n"/>
      <c r="I66" s="68" t="n"/>
      <c r="J66" s="68" t="n"/>
      <c r="K66" s="68" t="n"/>
      <c r="L66" s="68" t="n"/>
      <c r="M66" s="68" t="n"/>
      <c r="N66" s="68" t="n"/>
      <c r="O66" s="68" t="n"/>
      <c r="P66" s="68" t="n"/>
      <c r="Q66" s="68" t="n"/>
      <c r="R66" s="68" t="n"/>
      <c r="S66" s="68" t="n"/>
      <c r="T66" s="68" t="n"/>
      <c r="U66" s="68" t="n"/>
      <c r="V66" s="68" t="n"/>
      <c r="W66" s="68" t="n"/>
      <c r="X66" s="68" t="n"/>
    </row>
  </sheetData>
  <mergeCells count="7">
    <mergeCell ref="B17:X17"/>
    <mergeCell ref="B41:X41"/>
    <mergeCell ref="B8:X8"/>
    <mergeCell ref="B4:X4"/>
    <mergeCell ref="B50:X50"/>
    <mergeCell ref="B59:X59"/>
    <mergeCell ref="B28:X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K7"/>
  <sheetViews>
    <sheetView tabSelected="0" workbookViewId="0">
      <selection activeCell="A1" sqref="A1"/>
    </sheetView>
  </sheetViews>
  <sheetFormatPr baseColWidth="8" defaultRowHeight="15"/>
  <cols>
    <col width="52" customWidth="1" min="2" max="2"/>
    <col width="52" customWidth="1" min="5" max="5"/>
    <col width="52" customWidth="1" min="7" max="7"/>
    <col width="52" customWidth="1" min="9" max="9"/>
    <col width="52" customWidth="1" min="11" max="11"/>
  </cols>
  <sheetData>
    <row r="1">
      <c r="B1" s="52" t="inlineStr">
        <is>
          <t>A1 rung</t>
        </is>
      </c>
      <c r="C1" s="52" t="inlineStr">
        <is>
          <t>Points</t>
        </is>
      </c>
      <c r="E1" s="52" t="inlineStr">
        <is>
          <t>Scope</t>
        </is>
      </c>
      <c r="G1" s="52" t="inlineStr">
        <is>
          <t>Sophistication</t>
        </is>
      </c>
      <c r="I1" s="52" t="inlineStr">
        <is>
          <t>Clinician</t>
        </is>
      </c>
      <c r="K1" s="52" t="inlineStr">
        <is>
          <t>Partnership</t>
        </is>
      </c>
    </row>
    <row r="2">
      <c r="B2" t="inlineStr">
        <is>
          <t>Live — established customer base</t>
        </is>
      </c>
      <c r="C2" t="n">
        <v>20</v>
      </c>
      <c r="E2" t="inlineStr">
        <is>
          <t>0 — Nothing here</t>
        </is>
      </c>
      <c r="G2" t="inlineStr">
        <is>
          <t>0 — Not addressed</t>
        </is>
      </c>
      <c r="I2" t="inlineStr">
        <is>
          <t>0 — Not answered</t>
        </is>
      </c>
      <c r="K2" t="inlineStr">
        <is>
          <t>0 — Not answered</t>
        </is>
      </c>
    </row>
    <row r="3">
      <c r="B3" t="inlineStr">
        <is>
          <t>Live — small customer base</t>
        </is>
      </c>
      <c r="C3" t="n">
        <v>16</v>
      </c>
      <c r="E3" t="inlineStr">
        <is>
          <t>1 — A corner of it</t>
        </is>
      </c>
      <c r="G3" t="inlineStr">
        <is>
          <t>1 — Shows it</t>
        </is>
      </c>
      <c r="I3" t="inlineStr">
        <is>
          <t>1 — Poor fit</t>
        </is>
      </c>
      <c r="K3" t="inlineStr">
        <is>
          <t>1 — Standard customer relationship</t>
        </is>
      </c>
    </row>
    <row r="4">
      <c r="B4" t="inlineStr">
        <is>
          <t>Live — through a partner</t>
        </is>
      </c>
      <c r="C4" t="n">
        <v>12</v>
      </c>
      <c r="E4" t="inlineStr">
        <is>
          <t>2 — About half</t>
        </is>
      </c>
      <c r="G4" t="inlineStr">
        <is>
          <t>2 — Checks it</t>
        </is>
      </c>
      <c r="I4" t="inlineStr">
        <is>
          <t>2 — Workable</t>
        </is>
      </c>
      <c r="K4" t="inlineStr">
        <is>
          <t>2 — Takes our input; they own the roadmap</t>
        </is>
      </c>
    </row>
    <row r="5">
      <c r="B5" t="inlineStr">
        <is>
          <t>In development — with a date</t>
        </is>
      </c>
      <c r="C5" t="n">
        <v>6</v>
      </c>
      <c r="E5" t="inlineStr">
        <is>
          <t>3 — More than half</t>
        </is>
      </c>
      <c r="G5" t="inlineStr">
        <is>
          <t>3 — Recommends it</t>
        </is>
      </c>
      <c r="I5" t="inlineStr">
        <is>
          <t>3 — Good fit</t>
        </is>
      </c>
      <c r="K5" t="inlineStr">
        <is>
          <t>3 — Builds to our needs; ownership unaddressed</t>
        </is>
      </c>
    </row>
    <row r="6">
      <c r="B6" t="inlineStr">
        <is>
          <t>On the roadmap — no date</t>
        </is>
      </c>
      <c r="C6" t="n">
        <v>2</v>
      </c>
      <c r="E6" t="inlineStr">
        <is>
          <t>4 — Most of it</t>
        </is>
      </c>
      <c r="G6" t="inlineStr">
        <is>
          <t>4 — Runs it</t>
        </is>
      </c>
      <c r="I6" t="inlineStr">
        <is>
          <t>4 — Strong fit</t>
        </is>
      </c>
      <c r="K6" t="inlineStr">
        <is>
          <t>4 — Open to equity, and set up to build with us</t>
        </is>
      </c>
    </row>
    <row r="7">
      <c r="B7" t="inlineStr">
        <is>
          <t>None, and no path to one</t>
        </is>
      </c>
      <c r="C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2026-09-04T02:28:00Z</dcterms:created>
  <dcterms:modified xsi:type="dcterms:W3CDTF">2026-09-04T02:28:00Z</dcterms:modified>
</cp:coreProperties>
</file>