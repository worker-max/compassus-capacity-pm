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Example" sheetId="1" state="visible" r:id="rId1"/>
    <sheet name="Scorecard" sheetId="2" state="visible" r:id="rId2"/>
    <sheet name="Start Here" sheetId="3" state="visible" r:id="rId3"/>
    <sheet name="Questions" sheetId="4" state="visible" r:id="rId4"/>
    <sheet name="Lists" sheetId="5" state="hidden" r:id="rId5"/>
  </sheets>
  <definedNames>
    <definedName name="HCHB_List">Lists!$B$2:$B$7</definedName>
    <definedName name="Scope_List">Lists!$E$2:$E$6</definedName>
    <definedName name="Soph_List">Lists!$G$2:$G$6</definedName>
    <definedName name="Clin_List">Lists!$I$2:$I$6</definedName>
    <definedName name="Part_List">Lists!$K$2:$K$6</definedName>
    <definedName name="_xlnm.Print_Titles" localSheetId="0">'Example'!$2:$5,'Example'!$B:$F</definedName>
    <definedName name="_xlnm.Print_Titles" localSheetId="1">'Scorecard'!$2:$5,'Scorecard'!$B:$F</definedName>
    <definedName name="_xlnm.Print_Titles" localSheetId="3">'Questions'!$5:$5,'Questions'!$B:$C</definedName>
  </definedNames>
  <calcPr calcId="124519" fullCalcOnLoad="1"/>
</workbook>
</file>

<file path=xl/styles.xml><?xml version="1.0" encoding="utf-8"?>
<styleSheet xmlns="http://schemas.openxmlformats.org/spreadsheetml/2006/main">
  <numFmts count="1">
    <numFmt numFmtId="164" formatCode="0.0"/>
  </numFmts>
  <fonts count="30">
    <font>
      <name val="Calibri"/>
      <family val="2"/>
      <color theme="1"/>
      <sz val="11"/>
      <scheme val="minor"/>
    </font>
    <font>
      <name val="Aptos Narrow"/>
      <b val="1"/>
      <color rgb="005A6560"/>
      <sz val="9"/>
    </font>
    <font>
      <name val="Aptos Narrow"/>
      <b val="1"/>
      <color rgb="001B211E"/>
      <sz val="20"/>
    </font>
    <font>
      <name val="Aptos Narrow"/>
      <i val="1"/>
      <color rgb="005A6560"/>
      <sz val="10"/>
    </font>
    <font>
      <name val="Aptos Narrow"/>
      <b val="1"/>
      <color rgb="00FFFFFF"/>
      <sz val="9"/>
    </font>
    <font>
      <name val="Aptos Narrow"/>
      <color rgb="001B211E"/>
      <sz val="10"/>
    </font>
    <font>
      <name val="Aptos Narrow"/>
      <b val="1"/>
      <color rgb="009A7B15"/>
      <sz val="12"/>
    </font>
    <font>
      <name val="Aptos Narrow"/>
      <color rgb="005A6560"/>
      <sz val="9"/>
    </font>
    <font>
      <name val="Aptos Narrow"/>
      <b val="1"/>
      <color rgb="001B211E"/>
      <sz val="11"/>
    </font>
    <font>
      <name val="Aptos Narrow"/>
      <b val="1"/>
      <color rgb="001B211E"/>
      <sz val="12"/>
    </font>
    <font>
      <name val="Aptos Narrow"/>
      <i val="1"/>
      <color rgb="005A6560"/>
      <sz val="9"/>
    </font>
    <font>
      <name val="Aptos Narrow"/>
      <b val="1"/>
      <color rgb="009A7B15"/>
      <sz val="11"/>
    </font>
    <font>
      <name val="Aptos Narrow"/>
      <b val="1"/>
      <color rgb="001B211E"/>
      <sz val="14"/>
    </font>
    <font>
      <name val="Aptos Narrow"/>
      <b val="1"/>
      <color rgb="005A6560"/>
      <sz val="8"/>
    </font>
    <font>
      <name val="Aptos Narrow"/>
      <b val="1"/>
      <color rgb="001B211E"/>
      <sz val="10"/>
    </font>
    <font>
      <name val="Aptos Narrow"/>
      <color rgb="005A6560"/>
      <sz val="8"/>
    </font>
    <font>
      <name val="Aptos Narrow"/>
      <b val="1"/>
      <color rgb="00792E2E"/>
      <sz val="10"/>
    </font>
    <font>
      <name val="Aptos Narrow"/>
      <color rgb="009A7B15"/>
      <sz val="10"/>
    </font>
    <font>
      <name val="Aptos Narrow"/>
      <color rgb="001F6F78"/>
      <sz val="10"/>
    </font>
    <font>
      <name val="Aptos Narrow"/>
      <color rgb="002E599D"/>
      <sz val="10"/>
    </font>
    <font>
      <name val="Aptos Narrow"/>
      <color rgb="004E8A5B"/>
      <sz val="10"/>
    </font>
    <font>
      <name val="Aptos Narrow"/>
      <color rgb="006B4E96"/>
      <sz val="10"/>
    </font>
    <font>
      <name val="Aptos Narrow"/>
      <color rgb="001B211E"/>
      <sz val="9"/>
    </font>
    <font>
      <name val="Aptos Narrow"/>
      <b val="1"/>
      <color rgb="001F6F78"/>
      <sz val="11"/>
    </font>
    <font>
      <name val="Aptos Narrow"/>
      <b val="1"/>
      <color rgb="002E599D"/>
      <sz val="11"/>
    </font>
    <font>
      <name val="Aptos Narrow"/>
      <b val="1"/>
      <color rgb="004E8A5B"/>
      <sz val="11"/>
    </font>
    <font>
      <name val="Aptos Narrow"/>
      <b val="1"/>
      <color rgb="006B4E96"/>
      <sz val="11"/>
    </font>
    <font>
      <name val="Aptos Narrow"/>
      <color rgb="005A6560"/>
      <sz val="10"/>
    </font>
    <font>
      <name val="Aptos Narrow"/>
      <b val="1"/>
      <color rgb="00792E2E"/>
      <sz val="9"/>
    </font>
    <font>
      <name val="Aptos Narrow"/>
      <b val="1"/>
      <color rgb="001B211E"/>
      <sz val="15"/>
    </font>
  </fonts>
  <fills count="13">
    <fill>
      <patternFill/>
    </fill>
    <fill>
      <patternFill patternType="gray125"/>
    </fill>
    <fill>
      <patternFill patternType="solid">
        <fgColor rgb="001B211E"/>
      </patternFill>
    </fill>
    <fill>
      <patternFill patternType="solid">
        <fgColor rgb="00E9E9E5"/>
      </patternFill>
    </fill>
    <fill>
      <patternFill patternType="solid">
        <fgColor rgb="00FFFDF4"/>
      </patternFill>
    </fill>
    <fill>
      <patternFill patternType="solid">
        <fgColor rgb="00FBFBF8"/>
      </patternFill>
    </fill>
    <fill>
      <patternFill patternType="solid">
        <fgColor rgb="0044566B"/>
      </patternFill>
    </fill>
    <fill>
      <patternFill patternType="solid">
        <fgColor rgb="00F1F2ED"/>
      </patternFill>
    </fill>
    <fill>
      <patternFill patternType="solid">
        <fgColor rgb="001F6F78"/>
      </patternFill>
    </fill>
    <fill>
      <patternFill patternType="solid">
        <fgColor rgb="002E599D"/>
      </patternFill>
    </fill>
    <fill>
      <patternFill patternType="solid">
        <fgColor rgb="004E8A5B"/>
      </patternFill>
    </fill>
    <fill>
      <patternFill patternType="solid">
        <fgColor rgb="00792E2E"/>
      </patternFill>
    </fill>
    <fill>
      <patternFill patternType="solid">
        <fgColor rgb="00FFFFFF"/>
      </patternFill>
    </fill>
  </fills>
  <borders count="5">
    <border>
      <left/>
      <right/>
      <top/>
      <bottom/>
      <diagonal/>
    </border>
    <border>
      <left style="thin">
        <color rgb="00C9CCC5"/>
      </left>
      <right style="thin">
        <color rgb="00C9CCC5"/>
      </right>
      <top style="thin">
        <color rgb="00C9CCC5"/>
      </top>
      <bottom style="thin">
        <color rgb="00C9CCC5"/>
      </bottom>
    </border>
    <border>
      <bottom style="medium">
        <color rgb="001B211E"/>
      </bottom>
    </border>
    <border>
      <left style="medium">
        <color rgb="008E9891"/>
      </left>
      <right style="thin">
        <color rgb="00C9CCC5"/>
      </right>
      <top style="thin">
        <color rgb="00C9CCC5"/>
      </top>
      <bottom style="thin">
        <color rgb="00C9CCC5"/>
      </bottom>
    </border>
    <border>
      <left style="thin">
        <color rgb="00C9CCC5"/>
      </left>
      <right style="thin">
        <color rgb="00C9CCC5"/>
      </right>
      <top style="medium">
        <color rgb="001B211E"/>
      </top>
      <bottom style="medium">
        <color rgb="001B211E"/>
      </bottom>
    </border>
  </borders>
  <cellStyleXfs count="1">
    <xf numFmtId="0" fontId="0" fillId="0" borderId="0"/>
  </cellStyleXfs>
  <cellXfs count="71">
    <xf numFmtId="0" fontId="0" fillId="0" borderId="0" pivotButton="0" quotePrefix="0" xfId="0"/>
    <xf numFmtId="0" fontId="12" fillId="0" borderId="0" applyAlignment="1" pivotButton="0" quotePrefix="0" xfId="0">
      <alignment vertical="center"/>
    </xf>
    <xf numFmtId="0" fontId="13" fillId="0" borderId="0" applyAlignment="1" pivotButton="0" quotePrefix="0" xfId="0">
      <alignment horizontal="left" vertical="center"/>
    </xf>
    <xf numFmtId="0" fontId="10" fillId="0" borderId="0" applyAlignment="1" pivotButton="0" quotePrefix="0" xfId="0">
      <alignment horizontal="left" vertical="center" indent="1"/>
    </xf>
    <xf numFmtId="0" fontId="13" fillId="0" borderId="0" applyAlignment="1" pivotButton="0" quotePrefix="0" xfId="0">
      <alignment horizontal="center" vertical="bottom"/>
    </xf>
    <xf numFmtId="0" fontId="13" fillId="0" borderId="0" applyAlignment="1" pivotButton="0" quotePrefix="0" xfId="0">
      <alignment horizontal="left" vertical="bottom"/>
    </xf>
    <xf numFmtId="0" fontId="14" fillId="5" borderId="2" applyAlignment="1" pivotButton="0" quotePrefix="0" xfId="0">
      <alignment horizontal="center" vertical="bottom"/>
    </xf>
    <xf numFmtId="0" fontId="13" fillId="5" borderId="2" applyAlignment="1" pivotButton="0" quotePrefix="0" xfId="0">
      <alignment horizontal="left" vertical="bottom" indent="1"/>
    </xf>
    <xf numFmtId="0" fontId="9" fillId="0" borderId="0" applyAlignment="1" pivotButton="0" quotePrefix="0" xfId="0">
      <alignment horizontal="left" vertical="center" wrapText="1"/>
    </xf>
    <xf numFmtId="0" fontId="7" fillId="0" borderId="0" applyAlignment="1" pivotButton="0" quotePrefix="0" xfId="0">
      <alignment horizontal="left" vertical="center" wrapText="1"/>
    </xf>
    <xf numFmtId="0" fontId="15" fillId="0" borderId="0" applyAlignment="1" pivotButton="0" quotePrefix="0" xfId="0">
      <alignment horizontal="left" vertical="center" wrapText="1"/>
    </xf>
    <xf numFmtId="164" fontId="12" fillId="12" borderId="4" applyAlignment="1" pivotButton="0" quotePrefix="0" xfId="0">
      <alignment horizontal="center" vertical="center" wrapText="1"/>
    </xf>
    <xf numFmtId="0" fontId="22" fillId="3" borderId="1" applyAlignment="1" pivotButton="0" quotePrefix="0" xfId="0">
      <alignment horizontal="left" vertical="top" wrapText="1"/>
    </xf>
    <xf numFmtId="0" fontId="14" fillId="0" borderId="0" applyAlignment="1" pivotButton="0" quotePrefix="0" xfId="0">
      <alignment horizontal="left" vertical="center" wrapText="1"/>
    </xf>
    <xf numFmtId="0" fontId="28" fillId="3" borderId="1" applyAlignment="1" pivotButton="0" quotePrefix="0" xfId="0">
      <alignment horizontal="center" vertical="center" wrapText="1"/>
    </xf>
    <xf numFmtId="0" fontId="16" fillId="0" borderId="0" applyAlignment="1" pivotButton="0" quotePrefix="0" xfId="0">
      <alignment horizontal="left" vertical="center" wrapText="1"/>
    </xf>
    <xf numFmtId="1" fontId="16" fillId="3" borderId="1" applyAlignment="1" pivotButton="0" quotePrefix="0" xfId="0">
      <alignment horizontal="center" vertical="center" wrapText="1"/>
    </xf>
    <xf numFmtId="0" fontId="4" fillId="6" borderId="0" applyAlignment="1" pivotButton="0" quotePrefix="0" xfId="0">
      <alignment horizontal="left" vertical="center" indent="1"/>
    </xf>
    <xf numFmtId="0" fontId="17" fillId="0" borderId="0" applyAlignment="1" pivotButton="0" quotePrefix="0" xfId="0">
      <alignment horizontal="left" vertical="center" wrapText="1"/>
    </xf>
    <xf numFmtId="9" fontId="14" fillId="3" borderId="1" applyAlignment="1" pivotButton="0" quotePrefix="0" xfId="0">
      <alignment horizontal="center" vertical="center" wrapText="1"/>
    </xf>
    <xf numFmtId="0" fontId="18"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0" fillId="0" borderId="0" applyAlignment="1" pivotButton="0" quotePrefix="0" xfId="0">
      <alignment horizontal="left" vertical="center" wrapText="1"/>
    </xf>
    <xf numFmtId="0" fontId="21" fillId="0" borderId="0" applyAlignment="1" pivotButton="0" quotePrefix="0" xfId="0">
      <alignment horizontal="left" vertical="center" wrapText="1"/>
    </xf>
    <xf numFmtId="9" fontId="5" fillId="3" borderId="1" applyAlignment="1" pivotButton="0" quotePrefix="0" xfId="0">
      <alignment horizontal="center" vertical="center" wrapText="1"/>
    </xf>
    <xf numFmtId="0" fontId="5" fillId="0" borderId="0" applyAlignment="1" pivotButton="0" quotePrefix="0" xfId="0">
      <alignment horizontal="left" vertical="center" wrapText="1"/>
    </xf>
    <xf numFmtId="0" fontId="4" fillId="2" borderId="0" applyAlignment="1" pivotButton="0" quotePrefix="0" xfId="0">
      <alignment horizontal="left" vertical="center" indent="1"/>
    </xf>
    <xf numFmtId="0" fontId="7" fillId="7" borderId="0" applyAlignment="1" pivotButton="0" quotePrefix="0" xfId="0">
      <alignment horizontal="center" vertical="center" wrapText="1"/>
    </xf>
    <xf numFmtId="0" fontId="8" fillId="7" borderId="0" applyAlignment="1" pivotButton="0" quotePrefix="0" xfId="0">
      <alignment horizontal="left" vertical="center" wrapText="1"/>
    </xf>
    <xf numFmtId="0" fontId="7" fillId="7" borderId="0" applyAlignment="1" pivotButton="0" quotePrefix="0" xfId="0">
      <alignment horizontal="left" vertical="center" wrapText="1"/>
    </xf>
    <xf numFmtId="1" fontId="11" fillId="7" borderId="0" applyAlignment="1" pivotButton="0" quotePrefix="0" xfId="0">
      <alignment horizontal="center" vertical="center" wrapText="1"/>
    </xf>
    <xf numFmtId="0" fontId="15" fillId="7" borderId="0" applyAlignment="1" pivotButton="0" quotePrefix="0" xfId="0">
      <alignment horizontal="left" vertical="center" wrapText="1"/>
    </xf>
    <xf numFmtId="0" fontId="5" fillId="7" borderId="3" applyAlignment="1" pivotButton="0" quotePrefix="0" xfId="0">
      <alignment horizontal="center" vertical="center" wrapText="1"/>
    </xf>
    <xf numFmtId="0" fontId="22" fillId="7" borderId="1" applyAlignment="1" pivotButton="0" quotePrefix="0" xfId="0">
      <alignment horizontal="left" vertical="top" wrapText="1"/>
    </xf>
    <xf numFmtId="0" fontId="7" fillId="5" borderId="0" applyAlignment="1" pivotButton="0" quotePrefix="0" xfId="0">
      <alignment horizontal="center" vertical="center" wrapText="1"/>
    </xf>
    <xf numFmtId="0" fontId="8" fillId="5" borderId="0" applyAlignment="1" pivotButton="0" quotePrefix="0" xfId="0">
      <alignment horizontal="left" vertical="center" wrapText="1"/>
    </xf>
    <xf numFmtId="0" fontId="7" fillId="5" borderId="0" applyAlignment="1" pivotButton="0" quotePrefix="0" xfId="0">
      <alignment horizontal="left" vertical="center" wrapText="1"/>
    </xf>
    <xf numFmtId="0" fontId="5" fillId="5" borderId="0" applyAlignment="1" pivotButton="0" quotePrefix="0" xfId="0">
      <alignment horizontal="center" vertical="center" wrapText="1"/>
    </xf>
    <xf numFmtId="0" fontId="15" fillId="5" borderId="0" applyAlignment="1" pivotButton="0" quotePrefix="0" xfId="0">
      <alignment horizontal="left" vertical="center" wrapText="1"/>
    </xf>
    <xf numFmtId="0" fontId="5" fillId="5" borderId="3" applyAlignment="1" pivotButton="0" quotePrefix="0" xfId="0">
      <alignment horizontal="center" vertical="center" wrapText="1"/>
    </xf>
    <xf numFmtId="0" fontId="22" fillId="5" borderId="1" applyAlignment="1" pivotButton="0" quotePrefix="0" xfId="0">
      <alignment horizontal="left" vertical="top" wrapText="1"/>
    </xf>
    <xf numFmtId="0" fontId="4" fillId="8" borderId="0" applyAlignment="1" pivotButton="0" quotePrefix="0" xfId="0">
      <alignment horizontal="left" vertical="center" indent="1"/>
    </xf>
    <xf numFmtId="1" fontId="23" fillId="5" borderId="0" applyAlignment="1" pivotButton="0" quotePrefix="0" xfId="0">
      <alignment horizontal="center" vertical="center"/>
    </xf>
    <xf numFmtId="0" fontId="4" fillId="9" borderId="0" applyAlignment="1" pivotButton="0" quotePrefix="0" xfId="0">
      <alignment horizontal="left" vertical="center" indent="1"/>
    </xf>
    <xf numFmtId="1" fontId="24" fillId="7" borderId="0" applyAlignment="1" pivotButton="0" quotePrefix="0" xfId="0">
      <alignment horizontal="center" vertical="center"/>
    </xf>
    <xf numFmtId="0" fontId="4" fillId="10" borderId="0" applyAlignment="1" pivotButton="0" quotePrefix="0" xfId="0">
      <alignment horizontal="left" vertical="center" indent="1"/>
    </xf>
    <xf numFmtId="1" fontId="25" fillId="5" borderId="0" applyAlignment="1" pivotButton="0" quotePrefix="0" xfId="0">
      <alignment horizontal="center" vertical="center"/>
    </xf>
    <xf numFmtId="1" fontId="26" fillId="7" borderId="0" applyAlignment="1" pivotButton="0" quotePrefix="0" xfId="0">
      <alignment horizontal="center" vertical="center" wrapText="1"/>
    </xf>
    <xf numFmtId="1" fontId="8" fillId="7" borderId="0" applyAlignment="1" pivotButton="0" quotePrefix="0" xfId="0">
      <alignment horizontal="center" vertical="center" wrapText="1"/>
    </xf>
    <xf numFmtId="0" fontId="10" fillId="0" borderId="0" applyAlignment="1" pivotButton="0" quotePrefix="0" xfId="0">
      <alignment horizontal="left" vertical="center" wrapText="1"/>
    </xf>
    <xf numFmtId="0" fontId="4" fillId="11" borderId="0" applyAlignment="1" pivotButton="0" quotePrefix="0" xfId="0">
      <alignment horizontal="left" vertical="center" indent="1"/>
    </xf>
    <xf numFmtId="0" fontId="16" fillId="0" borderId="0" applyAlignment="1" pivotButton="0" quotePrefix="0" xfId="0">
      <alignment horizontal="left" vertical="top" wrapText="1"/>
    </xf>
    <xf numFmtId="0" fontId="10" fillId="0" borderId="0" applyAlignment="1" pivotButton="0" quotePrefix="0" xfId="0">
      <alignment horizontal="left" vertical="top" wrapText="1"/>
    </xf>
    <xf numFmtId="0" fontId="27"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3" fillId="0" borderId="0" applyAlignment="1" pivotButton="0" quotePrefix="0" xfId="0">
      <alignment horizontal="left" vertical="center" wrapText="1"/>
    </xf>
    <xf numFmtId="0" fontId="5" fillId="0" borderId="0" applyAlignment="1" pivotButton="0" quotePrefix="0" xfId="0">
      <alignment horizontal="left" vertical="top" wrapText="1"/>
    </xf>
    <xf numFmtId="0" fontId="1" fillId="3" borderId="0" applyAlignment="1" pivotButton="0" quotePrefix="0" xfId="0">
      <alignment horizontal="left" vertical="center" wrapText="1"/>
    </xf>
    <xf numFmtId="0" fontId="1" fillId="3" borderId="0" applyAlignment="1" pivotButton="0" quotePrefix="0" xfId="0">
      <alignment horizontal="center" vertical="center" wrapText="1"/>
    </xf>
    <xf numFmtId="1" fontId="6" fillId="4" borderId="1" applyAlignment="1" pivotButton="0" quotePrefix="0" xfId="0">
      <alignment horizontal="center" vertical="center" wrapText="1"/>
    </xf>
    <xf numFmtId="0" fontId="8" fillId="0" borderId="0" applyAlignment="1" pivotButton="0" quotePrefix="0" xfId="0">
      <alignment horizontal="left" vertical="center" wrapText="1"/>
    </xf>
    <xf numFmtId="1" fontId="9" fillId="3" borderId="1" applyAlignment="1" pivotButton="0" quotePrefix="0" xfId="0">
      <alignment horizontal="center" vertical="center" wrapText="1"/>
    </xf>
    <xf numFmtId="0" fontId="11" fillId="0" borderId="0" applyAlignment="1" pivotButton="0" quotePrefix="0" xfId="0">
      <alignment horizontal="center" vertical="center" wrapText="1"/>
    </xf>
    <xf numFmtId="0" fontId="10" fillId="0" borderId="0" pivotButton="0" quotePrefix="0" xfId="0"/>
    <xf numFmtId="0" fontId="29" fillId="0" borderId="0" pivotButton="0" quotePrefix="0" xfId="0"/>
    <xf numFmtId="0" fontId="1" fillId="0" borderId="0" applyAlignment="1" pivotButton="0" quotePrefix="0" xfId="0">
      <alignment horizontal="left" vertical="center"/>
    </xf>
    <xf numFmtId="0" fontId="1" fillId="0" borderId="0" applyAlignment="1" pivotButton="0" quotePrefix="0" xfId="0">
      <alignment horizontal="center" vertical="bottom"/>
    </xf>
    <xf numFmtId="0" fontId="14" fillId="5" borderId="2" applyAlignment="1" pivotButton="0" quotePrefix="0" xfId="0">
      <alignment horizontal="center" vertical="bottom" wrapText="1"/>
    </xf>
    <xf numFmtId="0" fontId="27" fillId="7" borderId="0" applyAlignment="1" pivotButton="0" quotePrefix="0" xfId="0">
      <alignment horizontal="center" vertical="center" wrapText="1"/>
    </xf>
    <xf numFmtId="0" fontId="5" fillId="5" borderId="3" applyAlignment="1" pivotButton="0" quotePrefix="0" xfId="0">
      <alignment horizontal="left" vertical="top" wrapText="1"/>
    </xf>
  </cellXfs>
  <cellStyles count="1">
    <cellStyle name="Normal" xfId="0" builtinId="0" hidden="0"/>
  </cellStyles>
  <dxfs count="3">
    <dxf>
      <font>
        <b val="1"/>
        <color rgb="006E1F1F"/>
      </font>
      <fill>
        <patternFill patternType="solid">
          <fgColor rgb="00E8B4B4"/>
        </patternFill>
      </fill>
    </dxf>
    <dxf>
      <font>
        <b val="1"/>
        <color rgb="006B5410"/>
      </font>
      <fill>
        <patternFill patternType="solid">
          <fgColor rgb="00F0DCA8"/>
        </patternFill>
      </fill>
    </dxf>
    <dxf>
      <font>
        <b val="1"/>
        <color rgb="0024512F"/>
      </font>
      <fill>
        <patternFill patternType="solid">
          <fgColor rgb="00BFDCC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92E2E"/>
    <outlinePr summaryBelow="1" summaryRight="1"/>
    <pageSetUpPr fitToPage="1"/>
  </sheetPr>
  <dimension ref="B1:AL56"/>
  <sheetViews>
    <sheetView showGridLines="0" tabSelected="0" zoomScale="10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8" customWidth="1" min="3" max="3"/>
    <col width="36" customWidth="1" min="4" max="4"/>
    <col width="6" customWidth="1" min="5" max="5"/>
    <col outlineLevel="1" width="44" customWidth="1" min="6" max="6"/>
    <col width="17" customWidth="1" min="7" max="7"/>
    <col hidden="1" outlineLevel="1" width="46" customWidth="1" min="8" max="8"/>
    <col width="17" customWidth="1" min="9" max="9"/>
    <col hidden="1" outlineLevel="1" width="46" customWidth="1" min="10" max="10"/>
    <col width="17" customWidth="1" min="11" max="11"/>
    <col hidden="1" outlineLevel="1" width="46" customWidth="1" min="12" max="12"/>
    <col width="17" customWidth="1" min="13" max="13"/>
    <col hidden="1" outlineLevel="1" width="46" customWidth="1" min="14" max="14"/>
    <col width="17" customWidth="1" min="15" max="15"/>
    <col hidden="1" outlineLevel="1" width="46" customWidth="1" min="16" max="16"/>
    <col width="17" customWidth="1" min="17" max="17"/>
    <col hidden="1" outlineLevel="1" width="46" customWidth="1" min="18" max="18"/>
    <col width="17" customWidth="1" min="19" max="19"/>
    <col hidden="1" outlineLevel="1" width="46" customWidth="1" min="20" max="20"/>
    <col width="17" customWidth="1" min="21" max="21"/>
    <col hidden="1" outlineLevel="1" width="46" customWidth="1" min="22" max="22"/>
    <col width="17" customWidth="1" min="23" max="23"/>
    <col hidden="1" outlineLevel="1" width="46" customWidth="1" min="24" max="24"/>
    <col width="17" customWidth="1" min="25" max="25"/>
    <col hidden="1" outlineLevel="1" width="46" customWidth="1" min="26" max="26"/>
    <col width="17" customWidth="1" min="27" max="27"/>
    <col hidden="1" outlineLevel="1" width="46" customWidth="1" min="28" max="28"/>
    <col width="17" customWidth="1" min="29" max="29"/>
    <col hidden="1" outlineLevel="1" width="46" customWidth="1" min="30" max="30"/>
    <col width="17" customWidth="1" min="31" max="31"/>
    <col hidden="1" outlineLevel="1" width="46" customWidth="1" min="32" max="32"/>
    <col width="17" customWidth="1" min="33" max="33"/>
    <col hidden="1" outlineLevel="1" width="46" customWidth="1" min="34" max="34"/>
    <col width="17" customWidth="1" min="35" max="35"/>
    <col hidden="1" outlineLevel="1" width="46" customWidth="1" min="36" max="36"/>
    <col width="17" customWidth="1" min="37" max="37"/>
    <col hidden="1" outlineLevel="1" width="46" customWidth="1" min="38" max="38"/>
  </cols>
  <sheetData>
    <row r="1" ht="22" customHeight="1">
      <c r="C1" s="1" t="inlineStr">
        <is>
          <t>Vendor Scorecard</t>
        </is>
      </c>
      <c r="D1" s="2" t="inlineStr">
        <is>
          <t>COMPASSUS  ·  CAPACITY &amp; SCHEDULING</t>
        </is>
      </c>
      <c r="G1" s="3" t="inlineStr">
        <is>
          <t>A worked example. These three vendors are invented — every score beside them is this sheet's own formulas. Score on the Scorecard tab, not this one.</t>
        </is>
      </c>
    </row>
    <row r="2" ht="20" customHeight="1">
      <c r="B2" s="4" t="inlineStr">
        <is>
          <t>Q</t>
        </is>
      </c>
      <c r="C2" s="5" t="inlineStr">
        <is>
          <t>CRITERION</t>
        </is>
      </c>
      <c r="D2" s="5" t="inlineStr">
        <is>
          <t>WHAT IT COVERS</t>
        </is>
      </c>
      <c r="E2" s="4" t="inlineStr">
        <is>
          <t>WT</t>
        </is>
      </c>
      <c r="F2" s="5" t="inlineStr">
        <is>
          <t>KEY  ·  how to mark this row</t>
        </is>
      </c>
      <c r="G2" s="6" t="inlineStr">
        <is>
          <t>Arbor Health Logistics</t>
        </is>
      </c>
      <c r="H2" s="7" t="inlineStr">
        <is>
          <t>NOTES  ·  JUSTIFICATION  ·  CLAIM vs EVIDENCE</t>
        </is>
      </c>
      <c r="I2" s="6" t="inlineStr">
        <is>
          <t>Wayfinder Scheduling</t>
        </is>
      </c>
      <c r="J2" s="7" t="inlineStr">
        <is>
          <t>NOTES  ·  JUSTIFICATION  ·  CLAIM vs EVIDENCE</t>
        </is>
      </c>
      <c r="K2" s="6" t="inlineStr">
        <is>
          <t>Northlight Health</t>
        </is>
      </c>
      <c r="L2" s="7" t="inlineStr">
        <is>
          <t>NOTES  ·  JUSTIFICATION  ·  CLAIM vs EVIDENCE</t>
        </is>
      </c>
      <c r="M2" s="6" t="inlineStr">
        <is>
          <t>Vendor 04</t>
        </is>
      </c>
      <c r="N2" s="7" t="inlineStr">
        <is>
          <t>NOTES  ·  JUSTIFICATION  ·  CLAIM vs EVIDENCE</t>
        </is>
      </c>
      <c r="O2" s="6" t="inlineStr">
        <is>
          <t>Vendor 05</t>
        </is>
      </c>
      <c r="P2" s="7" t="inlineStr">
        <is>
          <t>NOTES  ·  JUSTIFICATION  ·  CLAIM vs EVIDENCE</t>
        </is>
      </c>
      <c r="Q2" s="6" t="inlineStr">
        <is>
          <t>Vendor 06</t>
        </is>
      </c>
      <c r="R2" s="7" t="inlineStr">
        <is>
          <t>NOTES  ·  JUSTIFICATION  ·  CLAIM vs EVIDENCE</t>
        </is>
      </c>
      <c r="S2" s="6" t="inlineStr">
        <is>
          <t>Vendor 07</t>
        </is>
      </c>
      <c r="T2" s="7" t="inlineStr">
        <is>
          <t>NOTES  ·  JUSTIFICATION  ·  CLAIM vs EVIDENCE</t>
        </is>
      </c>
      <c r="U2" s="6" t="inlineStr">
        <is>
          <t>Vendor 08</t>
        </is>
      </c>
      <c r="V2" s="7" t="inlineStr">
        <is>
          <t>NOTES  ·  JUSTIFICATION  ·  CLAIM vs EVIDENCE</t>
        </is>
      </c>
      <c r="W2" s="6" t="inlineStr">
        <is>
          <t>Vendor 09</t>
        </is>
      </c>
      <c r="X2" s="7" t="inlineStr">
        <is>
          <t>NOTES  ·  JUSTIFICATION  ·  CLAIM vs EVIDENCE</t>
        </is>
      </c>
      <c r="Y2" s="6" t="inlineStr">
        <is>
          <t>Vendor 10</t>
        </is>
      </c>
      <c r="Z2" s="7" t="inlineStr">
        <is>
          <t>NOTES  ·  JUSTIFICATION  ·  CLAIM vs EVIDENCE</t>
        </is>
      </c>
      <c r="AA2" s="6" t="inlineStr">
        <is>
          <t>Vendor 11</t>
        </is>
      </c>
      <c r="AB2" s="7" t="inlineStr">
        <is>
          <t>NOTES  ·  JUSTIFICATION  ·  CLAIM vs EVIDENCE</t>
        </is>
      </c>
      <c r="AC2" s="6" t="inlineStr">
        <is>
          <t>Vendor 12</t>
        </is>
      </c>
      <c r="AD2" s="7" t="inlineStr">
        <is>
          <t>NOTES  ·  JUSTIFICATION  ·  CLAIM vs EVIDENCE</t>
        </is>
      </c>
      <c r="AE2" s="6" t="inlineStr">
        <is>
          <t>Vendor 13</t>
        </is>
      </c>
      <c r="AF2" s="7" t="inlineStr">
        <is>
          <t>NOTES  ·  JUSTIFICATION  ·  CLAIM vs EVIDENCE</t>
        </is>
      </c>
      <c r="AG2" s="6" t="inlineStr">
        <is>
          <t>Vendor 14</t>
        </is>
      </c>
      <c r="AH2" s="7" t="inlineStr">
        <is>
          <t>NOTES  ·  JUSTIFICATION  ·  CLAIM vs EVIDENCE</t>
        </is>
      </c>
      <c r="AI2" s="6" t="inlineStr">
        <is>
          <t>Vendor 15</t>
        </is>
      </c>
      <c r="AJ2" s="7" t="inlineStr">
        <is>
          <t>NOTES  ·  JUSTIFICATION  ·  CLAIM vs EVIDENCE</t>
        </is>
      </c>
      <c r="AK2" s="6" t="inlineStr">
        <is>
          <t>Vendor 16</t>
        </is>
      </c>
      <c r="AL2" s="7" t="inlineStr">
        <is>
          <t>NOTES  ·  JUSTIFICATION  ·  CLAIM vs EVIDENCE</t>
        </is>
      </c>
    </row>
    <row r="3" ht="22" customHeight="1">
      <c r="C3" s="8" t="inlineStr">
        <is>
          <t>TOTAL</t>
        </is>
      </c>
      <c r="D3" s="9" t="inlineStr">
        <is>
          <t>weighted, of 100</t>
        </is>
      </c>
      <c r="F3" s="10" t="inlineStr">
        <is>
          <t>each section grade × its weight, added up</t>
        </is>
      </c>
      <c r="G3" s="11">
        <f>IF(G17="","",G8*'Start Here'!$C$10+G9*'Start Here'!$C$11+G10*'Start Here'!$C$12+G11*'Start Here'!$C$13+G12*'Start Here'!$C$14+G13*'Start Here'!$C$15+G14*'Start Here'!$C$16)</f>
        <v/>
      </c>
      <c r="H3" s="12" t="n"/>
      <c r="I3" s="11">
        <f>IF(I17="","",I8*'Start Here'!$C$10+I9*'Start Here'!$C$11+I10*'Start Here'!$C$12+I11*'Start Here'!$C$13+I12*'Start Here'!$C$14+I13*'Start Here'!$C$15+I14*'Start Here'!$C$16)</f>
        <v/>
      </c>
      <c r="J3" s="12" t="n"/>
      <c r="K3" s="11">
        <f>IF(K17="","",K8*'Start Here'!$C$10+K9*'Start Here'!$C$11+K10*'Start Here'!$C$12+K11*'Start Here'!$C$13+K12*'Start Here'!$C$14+K13*'Start Here'!$C$15+K14*'Start Here'!$C$16)</f>
        <v/>
      </c>
      <c r="L3" s="12" t="n"/>
      <c r="M3" s="11">
        <f>IF(M17="","",M8*'Start Here'!$C$10+M9*'Start Here'!$C$11+M10*'Start Here'!$C$12+M11*'Start Here'!$C$13+M12*'Start Here'!$C$14+M13*'Start Here'!$C$15+M14*'Start Here'!$C$16)</f>
        <v/>
      </c>
      <c r="N3" s="12" t="n"/>
      <c r="O3" s="11">
        <f>IF(O17="","",O8*'Start Here'!$C$10+O9*'Start Here'!$C$11+O10*'Start Here'!$C$12+O11*'Start Here'!$C$13+O12*'Start Here'!$C$14+O13*'Start Here'!$C$15+O14*'Start Here'!$C$16)</f>
        <v/>
      </c>
      <c r="P3" s="12" t="n"/>
      <c r="Q3" s="11">
        <f>IF(Q17="","",Q8*'Start Here'!$C$10+Q9*'Start Here'!$C$11+Q10*'Start Here'!$C$12+Q11*'Start Here'!$C$13+Q12*'Start Here'!$C$14+Q13*'Start Here'!$C$15+Q14*'Start Here'!$C$16)</f>
        <v/>
      </c>
      <c r="R3" s="12" t="n"/>
      <c r="S3" s="11">
        <f>IF(S17="","",S8*'Start Here'!$C$10+S9*'Start Here'!$C$11+S10*'Start Here'!$C$12+S11*'Start Here'!$C$13+S12*'Start Here'!$C$14+S13*'Start Here'!$C$15+S14*'Start Here'!$C$16)</f>
        <v/>
      </c>
      <c r="T3" s="12" t="n"/>
      <c r="U3" s="11">
        <f>IF(U17="","",U8*'Start Here'!$C$10+U9*'Start Here'!$C$11+U10*'Start Here'!$C$12+U11*'Start Here'!$C$13+U12*'Start Here'!$C$14+U13*'Start Here'!$C$15+U14*'Start Here'!$C$16)</f>
        <v/>
      </c>
      <c r="V3" s="12" t="n"/>
      <c r="W3" s="11">
        <f>IF(W17="","",W8*'Start Here'!$C$10+W9*'Start Here'!$C$11+W10*'Start Here'!$C$12+W11*'Start Here'!$C$13+W12*'Start Here'!$C$14+W13*'Start Here'!$C$15+W14*'Start Here'!$C$16)</f>
        <v/>
      </c>
      <c r="X3" s="12" t="n"/>
      <c r="Y3" s="11">
        <f>IF(Y17="","",Y8*'Start Here'!$C$10+Y9*'Start Here'!$C$11+Y10*'Start Here'!$C$12+Y11*'Start Here'!$C$13+Y12*'Start Here'!$C$14+Y13*'Start Here'!$C$15+Y14*'Start Here'!$C$16)</f>
        <v/>
      </c>
      <c r="Z3" s="12" t="n"/>
      <c r="AA3" s="11">
        <f>IF(AA17="","",AA8*'Start Here'!$C$10+AA9*'Start Here'!$C$11+AA10*'Start Here'!$C$12+AA11*'Start Here'!$C$13+AA12*'Start Here'!$C$14+AA13*'Start Here'!$C$15+AA14*'Start Here'!$C$16)</f>
        <v/>
      </c>
      <c r="AB3" s="12" t="n"/>
      <c r="AC3" s="11">
        <f>IF(AC17="","",AC8*'Start Here'!$C$10+AC9*'Start Here'!$C$11+AC10*'Start Here'!$C$12+AC11*'Start Here'!$C$13+AC12*'Start Here'!$C$14+AC13*'Start Here'!$C$15+AC14*'Start Here'!$C$16)</f>
        <v/>
      </c>
      <c r="AD3" s="12" t="n"/>
      <c r="AE3" s="11">
        <f>IF(AE17="","",AE8*'Start Here'!$C$10+AE9*'Start Here'!$C$11+AE10*'Start Here'!$C$12+AE11*'Start Here'!$C$13+AE12*'Start Here'!$C$14+AE13*'Start Here'!$C$15+AE14*'Start Here'!$C$16)</f>
        <v/>
      </c>
      <c r="AF3" s="12" t="n"/>
      <c r="AG3" s="11">
        <f>IF(AG17="","",AG8*'Start Here'!$C$10+AG9*'Start Here'!$C$11+AG10*'Start Here'!$C$12+AG11*'Start Here'!$C$13+AG12*'Start Here'!$C$14+AG13*'Start Here'!$C$15+AG14*'Start Here'!$C$16)</f>
        <v/>
      </c>
      <c r="AH3" s="12" t="n"/>
      <c r="AI3" s="11">
        <f>IF(AI17="","",AI8*'Start Here'!$C$10+AI9*'Start Here'!$C$11+AI10*'Start Here'!$C$12+AI11*'Start Here'!$C$13+AI12*'Start Here'!$C$14+AI13*'Start Here'!$C$15+AI14*'Start Here'!$C$16)</f>
        <v/>
      </c>
      <c r="AJ3" s="12" t="n"/>
      <c r="AK3" s="11">
        <f>IF(AK17="","",AK8*'Start Here'!$C$10+AK9*'Start Here'!$C$11+AK10*'Start Here'!$C$12+AK11*'Start Here'!$C$13+AK12*'Start Here'!$C$14+AK13*'Start Here'!$C$15+AK14*'Start Here'!$C$16)</f>
        <v/>
      </c>
      <c r="AL3" s="12" t="n"/>
    </row>
    <row r="4" ht="16" customHeight="1">
      <c r="C4" s="13" t="inlineStr">
        <is>
          <t>Band</t>
        </is>
      </c>
      <c r="D4" s="9" t="inlineStr">
        <is>
          <t>80 Advance  ·  65 Consider  ·  50 Hold</t>
        </is>
      </c>
      <c r="G4" s="14">
        <f>IF(G17="","",IF(NOT(G8&gt;=0.6),"Conditional — ","")&amp;IF(G3&gt;=80,"Advance",IF(G3&gt;=65,"Consider",IF(G3&gt;=50,"Hold","Decline"))))</f>
        <v/>
      </c>
      <c r="H4" s="12" t="n"/>
      <c r="I4" s="14">
        <f>IF(I17="","",IF(NOT(I8&gt;=0.6),"Conditional — ","")&amp;IF(I3&gt;=80,"Advance",IF(I3&gt;=65,"Consider",IF(I3&gt;=50,"Hold","Decline"))))</f>
        <v/>
      </c>
      <c r="J4" s="12" t="n"/>
      <c r="K4" s="14">
        <f>IF(K17="","",IF(NOT(K8&gt;=0.6),"Conditional — ","")&amp;IF(K3&gt;=80,"Advance",IF(K3&gt;=65,"Consider",IF(K3&gt;=50,"Hold","Decline"))))</f>
        <v/>
      </c>
      <c r="L4" s="12" t="n"/>
      <c r="M4" s="14">
        <f>IF(M17="","",IF(NOT(M8&gt;=0.6),"Conditional — ","")&amp;IF(M3&gt;=80,"Advance",IF(M3&gt;=65,"Consider",IF(M3&gt;=50,"Hold","Decline"))))</f>
        <v/>
      </c>
      <c r="N4" s="12" t="n"/>
      <c r="O4" s="14">
        <f>IF(O17="","",IF(NOT(O8&gt;=0.6),"Conditional — ","")&amp;IF(O3&gt;=80,"Advance",IF(O3&gt;=65,"Consider",IF(O3&gt;=50,"Hold","Decline"))))</f>
        <v/>
      </c>
      <c r="P4" s="12" t="n"/>
      <c r="Q4" s="14">
        <f>IF(Q17="","",IF(NOT(Q8&gt;=0.6),"Conditional — ","")&amp;IF(Q3&gt;=80,"Advance",IF(Q3&gt;=65,"Consider",IF(Q3&gt;=50,"Hold","Decline"))))</f>
        <v/>
      </c>
      <c r="R4" s="12" t="n"/>
      <c r="S4" s="14">
        <f>IF(S17="","",IF(NOT(S8&gt;=0.6),"Conditional — ","")&amp;IF(S3&gt;=80,"Advance",IF(S3&gt;=65,"Consider",IF(S3&gt;=50,"Hold","Decline"))))</f>
        <v/>
      </c>
      <c r="T4" s="12" t="n"/>
      <c r="U4" s="14">
        <f>IF(U17="","",IF(NOT(U8&gt;=0.6),"Conditional — ","")&amp;IF(U3&gt;=80,"Advance",IF(U3&gt;=65,"Consider",IF(U3&gt;=50,"Hold","Decline"))))</f>
        <v/>
      </c>
      <c r="V4" s="12" t="n"/>
      <c r="W4" s="14">
        <f>IF(W17="","",IF(NOT(W8&gt;=0.6),"Conditional — ","")&amp;IF(W3&gt;=80,"Advance",IF(W3&gt;=65,"Consider",IF(W3&gt;=50,"Hold","Decline"))))</f>
        <v/>
      </c>
      <c r="X4" s="12" t="n"/>
      <c r="Y4" s="14">
        <f>IF(Y17="","",IF(NOT(Y8&gt;=0.6),"Conditional — ","")&amp;IF(Y3&gt;=80,"Advance",IF(Y3&gt;=65,"Consider",IF(Y3&gt;=50,"Hold","Decline"))))</f>
        <v/>
      </c>
      <c r="Z4" s="12" t="n"/>
      <c r="AA4" s="14">
        <f>IF(AA17="","",IF(NOT(AA8&gt;=0.6),"Conditional — ","")&amp;IF(AA3&gt;=80,"Advance",IF(AA3&gt;=65,"Consider",IF(AA3&gt;=50,"Hold","Decline"))))</f>
        <v/>
      </c>
      <c r="AB4" s="12" t="n"/>
      <c r="AC4" s="14">
        <f>IF(AC17="","",IF(NOT(AC8&gt;=0.6),"Conditional — ","")&amp;IF(AC3&gt;=80,"Advance",IF(AC3&gt;=65,"Consider",IF(AC3&gt;=50,"Hold","Decline"))))</f>
        <v/>
      </c>
      <c r="AD4" s="12" t="n"/>
      <c r="AE4" s="14">
        <f>IF(AE17="","",IF(NOT(AE8&gt;=0.6),"Conditional — ","")&amp;IF(AE3&gt;=80,"Advance",IF(AE3&gt;=65,"Consider",IF(AE3&gt;=50,"Hold","Decline"))))</f>
        <v/>
      </c>
      <c r="AF4" s="12" t="n"/>
      <c r="AG4" s="14">
        <f>IF(AG17="","",IF(NOT(AG8&gt;=0.6),"Conditional — ","")&amp;IF(AG3&gt;=80,"Advance",IF(AG3&gt;=65,"Consider",IF(AG3&gt;=50,"Hold","Decline"))))</f>
        <v/>
      </c>
      <c r="AH4" s="12" t="n"/>
      <c r="AI4" s="14">
        <f>IF(AI17="","",IF(NOT(AI8&gt;=0.6),"Conditional — ","")&amp;IF(AI3&gt;=80,"Advance",IF(AI3&gt;=65,"Consider",IF(AI3&gt;=50,"Hold","Decline"))))</f>
        <v/>
      </c>
      <c r="AJ4" s="12" t="n"/>
      <c r="AK4" s="14">
        <f>IF(AK17="","",IF(NOT(AK8&gt;=0.6),"Conditional — ","")&amp;IF(AK3&gt;=80,"Advance",IF(AK3&gt;=65,"Consider",IF(AK3&gt;=50,"Hold","Decline"))))</f>
        <v/>
      </c>
      <c r="AL4" s="12" t="n"/>
    </row>
    <row r="5" ht="16" customHeight="1">
      <c r="C5" s="15" t="inlineStr">
        <is>
          <t>Stop-checks</t>
        </is>
      </c>
      <c r="D5" s="9" t="inlineStr">
        <is>
          <t>of three</t>
        </is>
      </c>
      <c r="F5" s="10" t="inlineStr">
        <is>
          <t>A2, A3, C6 marked STOP-CHECK</t>
        </is>
      </c>
      <c r="G5" s="16">
        <f>IF(G17="","",IF(G18="STOP-CHECK",1,0)+IF(G19="STOP-CHECK",1,0)+IF(G37="STOP-CHECK",1,0))</f>
        <v/>
      </c>
      <c r="H5" s="12" t="n"/>
      <c r="I5" s="16">
        <f>IF(I17="","",IF(I18="STOP-CHECK",1,0)+IF(I19="STOP-CHECK",1,0)+IF(I37="STOP-CHECK",1,0))</f>
        <v/>
      </c>
      <c r="J5" s="12" t="n"/>
      <c r="K5" s="16">
        <f>IF(K17="","",IF(K18="STOP-CHECK",1,0)+IF(K19="STOP-CHECK",1,0)+IF(K37="STOP-CHECK",1,0))</f>
        <v/>
      </c>
      <c r="L5" s="12" t="n"/>
      <c r="M5" s="16">
        <f>IF(M17="","",IF(M18="STOP-CHECK",1,0)+IF(M19="STOP-CHECK",1,0)+IF(M37="STOP-CHECK",1,0))</f>
        <v/>
      </c>
      <c r="N5" s="12" t="n"/>
      <c r="O5" s="16">
        <f>IF(O17="","",IF(O18="STOP-CHECK",1,0)+IF(O19="STOP-CHECK",1,0)+IF(O37="STOP-CHECK",1,0))</f>
        <v/>
      </c>
      <c r="P5" s="12" t="n"/>
      <c r="Q5" s="16">
        <f>IF(Q17="","",IF(Q18="STOP-CHECK",1,0)+IF(Q19="STOP-CHECK",1,0)+IF(Q37="STOP-CHECK",1,0))</f>
        <v/>
      </c>
      <c r="R5" s="12" t="n"/>
      <c r="S5" s="16">
        <f>IF(S17="","",IF(S18="STOP-CHECK",1,0)+IF(S19="STOP-CHECK",1,0)+IF(S37="STOP-CHECK",1,0))</f>
        <v/>
      </c>
      <c r="T5" s="12" t="n"/>
      <c r="U5" s="16">
        <f>IF(U17="","",IF(U18="STOP-CHECK",1,0)+IF(U19="STOP-CHECK",1,0)+IF(U37="STOP-CHECK",1,0))</f>
        <v/>
      </c>
      <c r="V5" s="12" t="n"/>
      <c r="W5" s="16">
        <f>IF(W17="","",IF(W18="STOP-CHECK",1,0)+IF(W19="STOP-CHECK",1,0)+IF(W37="STOP-CHECK",1,0))</f>
        <v/>
      </c>
      <c r="X5" s="12" t="n"/>
      <c r="Y5" s="16">
        <f>IF(Y17="","",IF(Y18="STOP-CHECK",1,0)+IF(Y19="STOP-CHECK",1,0)+IF(Y37="STOP-CHECK",1,0))</f>
        <v/>
      </c>
      <c r="Z5" s="12" t="n"/>
      <c r="AA5" s="16">
        <f>IF(AA17="","",IF(AA18="STOP-CHECK",1,0)+IF(AA19="STOP-CHECK",1,0)+IF(AA37="STOP-CHECK",1,0))</f>
        <v/>
      </c>
      <c r="AB5" s="12" t="n"/>
      <c r="AC5" s="16">
        <f>IF(AC17="","",IF(AC18="STOP-CHECK",1,0)+IF(AC19="STOP-CHECK",1,0)+IF(AC37="STOP-CHECK",1,0))</f>
        <v/>
      </c>
      <c r="AD5" s="12" t="n"/>
      <c r="AE5" s="16">
        <f>IF(AE17="","",IF(AE18="STOP-CHECK",1,0)+IF(AE19="STOP-CHECK",1,0)+IF(AE37="STOP-CHECK",1,0))</f>
        <v/>
      </c>
      <c r="AF5" s="12" t="n"/>
      <c r="AG5" s="16">
        <f>IF(AG17="","",IF(AG18="STOP-CHECK",1,0)+IF(AG19="STOP-CHECK",1,0)+IF(AG37="STOP-CHECK",1,0))</f>
        <v/>
      </c>
      <c r="AH5" s="12" t="n"/>
      <c r="AI5" s="16">
        <f>IF(AI17="","",IF(AI18="STOP-CHECK",1,0)+IF(AI19="STOP-CHECK",1,0)+IF(AI37="STOP-CHECK",1,0))</f>
        <v/>
      </c>
      <c r="AJ5" s="12" t="n"/>
      <c r="AK5" s="16">
        <f>IF(AK17="","",IF(AK18="STOP-CHECK",1,0)+IF(AK19="STOP-CHECK",1,0)+IF(AK37="STOP-CHECK",1,0))</f>
        <v/>
      </c>
      <c r="AL5" s="12" t="n"/>
    </row>
    <row r="6" ht="8" customHeight="1"/>
    <row r="7" ht="18" customHeight="1">
      <c r="B7" s="17" t="inlineStr">
        <is>
          <t>SECTION GRADES   —   each on its own scale, unweighted</t>
        </is>
      </c>
    </row>
    <row r="8" ht="17" customHeight="1">
      <c r="C8" s="18" t="inlineStr">
        <is>
          <t>Home Care Home Base</t>
        </is>
      </c>
      <c r="F8" s="10" t="inlineStr">
        <is>
          <t>marks earned ÷ marks available</t>
        </is>
      </c>
      <c r="G8" s="19">
        <f>IF(G17="","",(IFERROR(VLOOKUP(G17,Lists!$B$2:$C$7,2,FALSE),0))/20)</f>
        <v/>
      </c>
      <c r="H8" s="12" t="n"/>
      <c r="I8" s="19">
        <f>IF(I17="","",(IFERROR(VLOOKUP(I17,Lists!$B$2:$C$7,2,FALSE),0))/20)</f>
        <v/>
      </c>
      <c r="J8" s="12" t="n"/>
      <c r="K8" s="19">
        <f>IF(K17="","",(IFERROR(VLOOKUP(K17,Lists!$B$2:$C$7,2,FALSE),0))/20)</f>
        <v/>
      </c>
      <c r="L8" s="12" t="n"/>
      <c r="M8" s="19">
        <f>IF(M17="","",(IFERROR(VLOOKUP(M17,Lists!$B$2:$C$7,2,FALSE),0))/20)</f>
        <v/>
      </c>
      <c r="N8" s="12" t="n"/>
      <c r="O8" s="19">
        <f>IF(O17="","",(IFERROR(VLOOKUP(O17,Lists!$B$2:$C$7,2,FALSE),0))/20)</f>
        <v/>
      </c>
      <c r="P8" s="12" t="n"/>
      <c r="Q8" s="19">
        <f>IF(Q17="","",(IFERROR(VLOOKUP(Q17,Lists!$B$2:$C$7,2,FALSE),0))/20)</f>
        <v/>
      </c>
      <c r="R8" s="12" t="n"/>
      <c r="S8" s="19">
        <f>IF(S17="","",(IFERROR(VLOOKUP(S17,Lists!$B$2:$C$7,2,FALSE),0))/20)</f>
        <v/>
      </c>
      <c r="T8" s="12" t="n"/>
      <c r="U8" s="19">
        <f>IF(U17="","",(IFERROR(VLOOKUP(U17,Lists!$B$2:$C$7,2,FALSE),0))/20)</f>
        <v/>
      </c>
      <c r="V8" s="12" t="n"/>
      <c r="W8" s="19">
        <f>IF(W17="","",(IFERROR(VLOOKUP(W17,Lists!$B$2:$C$7,2,FALSE),0))/20)</f>
        <v/>
      </c>
      <c r="X8" s="12" t="n"/>
      <c r="Y8" s="19">
        <f>IF(Y17="","",(IFERROR(VLOOKUP(Y17,Lists!$B$2:$C$7,2,FALSE),0))/20)</f>
        <v/>
      </c>
      <c r="Z8" s="12" t="n"/>
      <c r="AA8" s="19">
        <f>IF(AA17="","",(IFERROR(VLOOKUP(AA17,Lists!$B$2:$C$7,2,FALSE),0))/20)</f>
        <v/>
      </c>
      <c r="AB8" s="12" t="n"/>
      <c r="AC8" s="19">
        <f>IF(AC17="","",(IFERROR(VLOOKUP(AC17,Lists!$B$2:$C$7,2,FALSE),0))/20)</f>
        <v/>
      </c>
      <c r="AD8" s="12" t="n"/>
      <c r="AE8" s="19">
        <f>IF(AE17="","",(IFERROR(VLOOKUP(AE17,Lists!$B$2:$C$7,2,FALSE),0))/20)</f>
        <v/>
      </c>
      <c r="AF8" s="12" t="n"/>
      <c r="AG8" s="19">
        <f>IF(AG17="","",(IFERROR(VLOOKUP(AG17,Lists!$B$2:$C$7,2,FALSE),0))/20)</f>
        <v/>
      </c>
      <c r="AH8" s="12" t="n"/>
      <c r="AI8" s="19">
        <f>IF(AI17="","",(IFERROR(VLOOKUP(AI17,Lists!$B$2:$C$7,2,FALSE),0))/20)</f>
        <v/>
      </c>
      <c r="AJ8" s="12" t="n"/>
      <c r="AK8" s="19">
        <f>IF(AK17="","",(IFERROR(VLOOKUP(AK17,Lists!$B$2:$C$7,2,FALSE),0))/20)</f>
        <v/>
      </c>
      <c r="AL8" s="12" t="n"/>
    </row>
    <row r="9" ht="17" customHeight="1">
      <c r="C9" s="20" t="inlineStr">
        <is>
          <t>Capacity</t>
        </is>
      </c>
      <c r="F9" s="10" t="inlineStr">
        <is>
          <t>marks earned ÷ marks available</t>
        </is>
      </c>
      <c r="G9" s="19">
        <f>IF(G17="","",(IFERROR(VALUE(LEFT(G23,1)),0)+IFERROR(VALUE(LEFT(G24,1)),0)+IFERROR(VALUE(LEFT(G25,1)),0))/12)</f>
        <v/>
      </c>
      <c r="H9" s="12" t="n"/>
      <c r="I9" s="19">
        <f>IF(I17="","",(IFERROR(VALUE(LEFT(I23,1)),0)+IFERROR(VALUE(LEFT(I24,1)),0)+IFERROR(VALUE(LEFT(I25,1)),0))/12)</f>
        <v/>
      </c>
      <c r="J9" s="12" t="n"/>
      <c r="K9" s="19">
        <f>IF(K17="","",(IFERROR(VALUE(LEFT(K23,1)),0)+IFERROR(VALUE(LEFT(K24,1)),0)+IFERROR(VALUE(LEFT(K25,1)),0))/12)</f>
        <v/>
      </c>
      <c r="L9" s="12" t="n"/>
      <c r="M9" s="19">
        <f>IF(M17="","",(IFERROR(VALUE(LEFT(M23,1)),0)+IFERROR(VALUE(LEFT(M24,1)),0)+IFERROR(VALUE(LEFT(M25,1)),0))/12)</f>
        <v/>
      </c>
      <c r="N9" s="12" t="n"/>
      <c r="O9" s="19">
        <f>IF(O17="","",(IFERROR(VALUE(LEFT(O23,1)),0)+IFERROR(VALUE(LEFT(O24,1)),0)+IFERROR(VALUE(LEFT(O25,1)),0))/12)</f>
        <v/>
      </c>
      <c r="P9" s="12" t="n"/>
      <c r="Q9" s="19">
        <f>IF(Q17="","",(IFERROR(VALUE(LEFT(Q23,1)),0)+IFERROR(VALUE(LEFT(Q24,1)),0)+IFERROR(VALUE(LEFT(Q25,1)),0))/12)</f>
        <v/>
      </c>
      <c r="R9" s="12" t="n"/>
      <c r="S9" s="19">
        <f>IF(S17="","",(IFERROR(VALUE(LEFT(S23,1)),0)+IFERROR(VALUE(LEFT(S24,1)),0)+IFERROR(VALUE(LEFT(S25,1)),0))/12)</f>
        <v/>
      </c>
      <c r="T9" s="12" t="n"/>
      <c r="U9" s="19">
        <f>IF(U17="","",(IFERROR(VALUE(LEFT(U23,1)),0)+IFERROR(VALUE(LEFT(U24,1)),0)+IFERROR(VALUE(LEFT(U25,1)),0))/12)</f>
        <v/>
      </c>
      <c r="V9" s="12" t="n"/>
      <c r="W9" s="19">
        <f>IF(W17="","",(IFERROR(VALUE(LEFT(W23,1)),0)+IFERROR(VALUE(LEFT(W24,1)),0)+IFERROR(VALUE(LEFT(W25,1)),0))/12)</f>
        <v/>
      </c>
      <c r="X9" s="12" t="n"/>
      <c r="Y9" s="19">
        <f>IF(Y17="","",(IFERROR(VALUE(LEFT(Y23,1)),0)+IFERROR(VALUE(LEFT(Y24,1)),0)+IFERROR(VALUE(LEFT(Y25,1)),0))/12)</f>
        <v/>
      </c>
      <c r="Z9" s="12" t="n"/>
      <c r="AA9" s="19">
        <f>IF(AA17="","",(IFERROR(VALUE(LEFT(AA23,1)),0)+IFERROR(VALUE(LEFT(AA24,1)),0)+IFERROR(VALUE(LEFT(AA25,1)),0))/12)</f>
        <v/>
      </c>
      <c r="AB9" s="12" t="n"/>
      <c r="AC9" s="19">
        <f>IF(AC17="","",(IFERROR(VALUE(LEFT(AC23,1)),0)+IFERROR(VALUE(LEFT(AC24,1)),0)+IFERROR(VALUE(LEFT(AC25,1)),0))/12)</f>
        <v/>
      </c>
      <c r="AD9" s="12" t="n"/>
      <c r="AE9" s="19">
        <f>IF(AE17="","",(IFERROR(VALUE(LEFT(AE23,1)),0)+IFERROR(VALUE(LEFT(AE24,1)),0)+IFERROR(VALUE(LEFT(AE25,1)),0))/12)</f>
        <v/>
      </c>
      <c r="AF9" s="12" t="n"/>
      <c r="AG9" s="19">
        <f>IF(AG17="","",(IFERROR(VALUE(LEFT(AG23,1)),0)+IFERROR(VALUE(LEFT(AG24,1)),0)+IFERROR(VALUE(LEFT(AG25,1)),0))/12)</f>
        <v/>
      </c>
      <c r="AH9" s="12" t="n"/>
      <c r="AI9" s="19">
        <f>IF(AI17="","",(IFERROR(VALUE(LEFT(AI23,1)),0)+IFERROR(VALUE(LEFT(AI24,1)),0)+IFERROR(VALUE(LEFT(AI25,1)),0))/12)</f>
        <v/>
      </c>
      <c r="AJ9" s="12" t="n"/>
      <c r="AK9" s="19">
        <f>IF(AK17="","",(IFERROR(VALUE(LEFT(AK23,1)),0)+IFERROR(VALUE(LEFT(AK24,1)),0)+IFERROR(VALUE(LEFT(AK25,1)),0))/12)</f>
        <v/>
      </c>
      <c r="AL9" s="12" t="n"/>
    </row>
    <row r="10" ht="17" customHeight="1">
      <c r="C10" s="21" t="inlineStr">
        <is>
          <t>Scheduling</t>
        </is>
      </c>
      <c r="F10" s="10" t="inlineStr">
        <is>
          <t>marks earned ÷ marks available</t>
        </is>
      </c>
      <c r="G10" s="19">
        <f>IF(G17="","",(IFERROR(VALUE(LEFT(G27,1)),0)+IFERROR(VALUE(LEFT(G28,1)),0)+IFERROR(VALUE(LEFT(G29,1)),0))/12)</f>
        <v/>
      </c>
      <c r="H10" s="12" t="n"/>
      <c r="I10" s="19">
        <f>IF(I17="","",(IFERROR(VALUE(LEFT(I27,1)),0)+IFERROR(VALUE(LEFT(I28,1)),0)+IFERROR(VALUE(LEFT(I29,1)),0))/12)</f>
        <v/>
      </c>
      <c r="J10" s="12" t="n"/>
      <c r="K10" s="19">
        <f>IF(K17="","",(IFERROR(VALUE(LEFT(K27,1)),0)+IFERROR(VALUE(LEFT(K28,1)),0)+IFERROR(VALUE(LEFT(K29,1)),0))/12)</f>
        <v/>
      </c>
      <c r="L10" s="12" t="n"/>
      <c r="M10" s="19">
        <f>IF(M17="","",(IFERROR(VALUE(LEFT(M27,1)),0)+IFERROR(VALUE(LEFT(M28,1)),0)+IFERROR(VALUE(LEFT(M29,1)),0))/12)</f>
        <v/>
      </c>
      <c r="N10" s="12" t="n"/>
      <c r="O10" s="19">
        <f>IF(O17="","",(IFERROR(VALUE(LEFT(O27,1)),0)+IFERROR(VALUE(LEFT(O28,1)),0)+IFERROR(VALUE(LEFT(O29,1)),0))/12)</f>
        <v/>
      </c>
      <c r="P10" s="12" t="n"/>
      <c r="Q10" s="19">
        <f>IF(Q17="","",(IFERROR(VALUE(LEFT(Q27,1)),0)+IFERROR(VALUE(LEFT(Q28,1)),0)+IFERROR(VALUE(LEFT(Q29,1)),0))/12)</f>
        <v/>
      </c>
      <c r="R10" s="12" t="n"/>
      <c r="S10" s="19">
        <f>IF(S17="","",(IFERROR(VALUE(LEFT(S27,1)),0)+IFERROR(VALUE(LEFT(S28,1)),0)+IFERROR(VALUE(LEFT(S29,1)),0))/12)</f>
        <v/>
      </c>
      <c r="T10" s="12" t="n"/>
      <c r="U10" s="19">
        <f>IF(U17="","",(IFERROR(VALUE(LEFT(U27,1)),0)+IFERROR(VALUE(LEFT(U28,1)),0)+IFERROR(VALUE(LEFT(U29,1)),0))/12)</f>
        <v/>
      </c>
      <c r="V10" s="12" t="n"/>
      <c r="W10" s="19">
        <f>IF(W17="","",(IFERROR(VALUE(LEFT(W27,1)),0)+IFERROR(VALUE(LEFT(W28,1)),0)+IFERROR(VALUE(LEFT(W29,1)),0))/12)</f>
        <v/>
      </c>
      <c r="X10" s="12" t="n"/>
      <c r="Y10" s="19">
        <f>IF(Y17="","",(IFERROR(VALUE(LEFT(Y27,1)),0)+IFERROR(VALUE(LEFT(Y28,1)),0)+IFERROR(VALUE(LEFT(Y29,1)),0))/12)</f>
        <v/>
      </c>
      <c r="Z10" s="12" t="n"/>
      <c r="AA10" s="19">
        <f>IF(AA17="","",(IFERROR(VALUE(LEFT(AA27,1)),0)+IFERROR(VALUE(LEFT(AA28,1)),0)+IFERROR(VALUE(LEFT(AA29,1)),0))/12)</f>
        <v/>
      </c>
      <c r="AB10" s="12" t="n"/>
      <c r="AC10" s="19">
        <f>IF(AC17="","",(IFERROR(VALUE(LEFT(AC27,1)),0)+IFERROR(VALUE(LEFT(AC28,1)),0)+IFERROR(VALUE(LEFT(AC29,1)),0))/12)</f>
        <v/>
      </c>
      <c r="AD10" s="12" t="n"/>
      <c r="AE10" s="19">
        <f>IF(AE17="","",(IFERROR(VALUE(LEFT(AE27,1)),0)+IFERROR(VALUE(LEFT(AE28,1)),0)+IFERROR(VALUE(LEFT(AE29,1)),0))/12)</f>
        <v/>
      </c>
      <c r="AF10" s="12" t="n"/>
      <c r="AG10" s="19">
        <f>IF(AG17="","",(IFERROR(VALUE(LEFT(AG27,1)),0)+IFERROR(VALUE(LEFT(AG28,1)),0)+IFERROR(VALUE(LEFT(AG29,1)),0))/12)</f>
        <v/>
      </c>
      <c r="AH10" s="12" t="n"/>
      <c r="AI10" s="19">
        <f>IF(AI17="","",(IFERROR(VALUE(LEFT(AI27,1)),0)+IFERROR(VALUE(LEFT(AI28,1)),0)+IFERROR(VALUE(LEFT(AI29,1)),0))/12)</f>
        <v/>
      </c>
      <c r="AJ10" s="12" t="n"/>
      <c r="AK10" s="19">
        <f>IF(AK17="","",(IFERROR(VALUE(LEFT(AK27,1)),0)+IFERROR(VALUE(LEFT(AK28,1)),0)+IFERROR(VALUE(LEFT(AK29,1)),0))/12)</f>
        <v/>
      </c>
      <c r="AL10" s="12" t="n"/>
    </row>
    <row r="11" ht="17" customHeight="1">
      <c r="C11" s="22" t="inlineStr">
        <is>
          <t>Engagement</t>
        </is>
      </c>
      <c r="F11" s="10" t="inlineStr">
        <is>
          <t>marks earned ÷ marks available</t>
        </is>
      </c>
      <c r="G11" s="19">
        <f>IF(G17="","",(IFERROR(VALUE(LEFT(G31,1)),0)+IFERROR(VALUE(LEFT(G32,1)),0)+IFERROR(VALUE(LEFT(G33,1)),0))/12)</f>
        <v/>
      </c>
      <c r="H11" s="12" t="n"/>
      <c r="I11" s="19">
        <f>IF(I17="","",(IFERROR(VALUE(LEFT(I31,1)),0)+IFERROR(VALUE(LEFT(I32,1)),0)+IFERROR(VALUE(LEFT(I33,1)),0))/12)</f>
        <v/>
      </c>
      <c r="J11" s="12" t="n"/>
      <c r="K11" s="19">
        <f>IF(K17="","",(IFERROR(VALUE(LEFT(K31,1)),0)+IFERROR(VALUE(LEFT(K32,1)),0)+IFERROR(VALUE(LEFT(K33,1)),0))/12)</f>
        <v/>
      </c>
      <c r="L11" s="12" t="n"/>
      <c r="M11" s="19">
        <f>IF(M17="","",(IFERROR(VALUE(LEFT(M31,1)),0)+IFERROR(VALUE(LEFT(M32,1)),0)+IFERROR(VALUE(LEFT(M33,1)),0))/12)</f>
        <v/>
      </c>
      <c r="N11" s="12" t="n"/>
      <c r="O11" s="19">
        <f>IF(O17="","",(IFERROR(VALUE(LEFT(O31,1)),0)+IFERROR(VALUE(LEFT(O32,1)),0)+IFERROR(VALUE(LEFT(O33,1)),0))/12)</f>
        <v/>
      </c>
      <c r="P11" s="12" t="n"/>
      <c r="Q11" s="19">
        <f>IF(Q17="","",(IFERROR(VALUE(LEFT(Q31,1)),0)+IFERROR(VALUE(LEFT(Q32,1)),0)+IFERROR(VALUE(LEFT(Q33,1)),0))/12)</f>
        <v/>
      </c>
      <c r="R11" s="12" t="n"/>
      <c r="S11" s="19">
        <f>IF(S17="","",(IFERROR(VALUE(LEFT(S31,1)),0)+IFERROR(VALUE(LEFT(S32,1)),0)+IFERROR(VALUE(LEFT(S33,1)),0))/12)</f>
        <v/>
      </c>
      <c r="T11" s="12" t="n"/>
      <c r="U11" s="19">
        <f>IF(U17="","",(IFERROR(VALUE(LEFT(U31,1)),0)+IFERROR(VALUE(LEFT(U32,1)),0)+IFERROR(VALUE(LEFT(U33,1)),0))/12)</f>
        <v/>
      </c>
      <c r="V11" s="12" t="n"/>
      <c r="W11" s="19">
        <f>IF(W17="","",(IFERROR(VALUE(LEFT(W31,1)),0)+IFERROR(VALUE(LEFT(W32,1)),0)+IFERROR(VALUE(LEFT(W33,1)),0))/12)</f>
        <v/>
      </c>
      <c r="X11" s="12" t="n"/>
      <c r="Y11" s="19">
        <f>IF(Y17="","",(IFERROR(VALUE(LEFT(Y31,1)),0)+IFERROR(VALUE(LEFT(Y32,1)),0)+IFERROR(VALUE(LEFT(Y33,1)),0))/12)</f>
        <v/>
      </c>
      <c r="Z11" s="12" t="n"/>
      <c r="AA11" s="19">
        <f>IF(AA17="","",(IFERROR(VALUE(LEFT(AA31,1)),0)+IFERROR(VALUE(LEFT(AA32,1)),0)+IFERROR(VALUE(LEFT(AA33,1)),0))/12)</f>
        <v/>
      </c>
      <c r="AB11" s="12" t="n"/>
      <c r="AC11" s="19">
        <f>IF(AC17="","",(IFERROR(VALUE(LEFT(AC31,1)),0)+IFERROR(VALUE(LEFT(AC32,1)),0)+IFERROR(VALUE(LEFT(AC33,1)),0))/12)</f>
        <v/>
      </c>
      <c r="AD11" s="12" t="n"/>
      <c r="AE11" s="19">
        <f>IF(AE17="","",(IFERROR(VALUE(LEFT(AE31,1)),0)+IFERROR(VALUE(LEFT(AE32,1)),0)+IFERROR(VALUE(LEFT(AE33,1)),0))/12)</f>
        <v/>
      </c>
      <c r="AF11" s="12" t="n"/>
      <c r="AG11" s="19">
        <f>IF(AG17="","",(IFERROR(VALUE(LEFT(AG31,1)),0)+IFERROR(VALUE(LEFT(AG32,1)),0)+IFERROR(VALUE(LEFT(AG33,1)),0))/12)</f>
        <v/>
      </c>
      <c r="AH11" s="12" t="n"/>
      <c r="AI11" s="19">
        <f>IF(AI17="","",(IFERROR(VALUE(LEFT(AI31,1)),0)+IFERROR(VALUE(LEFT(AI32,1)),0)+IFERROR(VALUE(LEFT(AI33,1)),0))/12)</f>
        <v/>
      </c>
      <c r="AJ11" s="12" t="n"/>
      <c r="AK11" s="19">
        <f>IF(AK17="","",(IFERROR(VALUE(LEFT(AK31,1)),0)+IFERROR(VALUE(LEFT(AK32,1)),0)+IFERROR(VALUE(LEFT(AK33,1)),0))/12)</f>
        <v/>
      </c>
      <c r="AL11" s="12" t="n"/>
    </row>
    <row r="12" ht="17" customHeight="1">
      <c r="C12" s="23" t="inlineStr">
        <is>
          <t>Sophistication</t>
        </is>
      </c>
      <c r="F12" s="10" t="inlineStr">
        <is>
          <t>marks earned ÷ marks available</t>
        </is>
      </c>
      <c r="G12" s="24">
        <f>IF(G17="","",(IFERROR(VALUE(LEFT(G36,1)),0))/4)</f>
        <v/>
      </c>
      <c r="H12" s="12" t="n"/>
      <c r="I12" s="24">
        <f>IF(I17="","",(IFERROR(VALUE(LEFT(I36,1)),0))/4)</f>
        <v/>
      </c>
      <c r="J12" s="12" t="n"/>
      <c r="K12" s="24">
        <f>IF(K17="","",(IFERROR(VALUE(LEFT(K36,1)),0))/4)</f>
        <v/>
      </c>
      <c r="L12" s="12" t="n"/>
      <c r="M12" s="24">
        <f>IF(M17="","",(IFERROR(VALUE(LEFT(M36,1)),0))/4)</f>
        <v/>
      </c>
      <c r="N12" s="12" t="n"/>
      <c r="O12" s="24">
        <f>IF(O17="","",(IFERROR(VALUE(LEFT(O36,1)),0))/4)</f>
        <v/>
      </c>
      <c r="P12" s="12" t="n"/>
      <c r="Q12" s="24">
        <f>IF(Q17="","",(IFERROR(VALUE(LEFT(Q36,1)),0))/4)</f>
        <v/>
      </c>
      <c r="R12" s="12" t="n"/>
      <c r="S12" s="24">
        <f>IF(S17="","",(IFERROR(VALUE(LEFT(S36,1)),0))/4)</f>
        <v/>
      </c>
      <c r="T12" s="12" t="n"/>
      <c r="U12" s="24">
        <f>IF(U17="","",(IFERROR(VALUE(LEFT(U36,1)),0))/4)</f>
        <v/>
      </c>
      <c r="V12" s="12" t="n"/>
      <c r="W12" s="24">
        <f>IF(W17="","",(IFERROR(VALUE(LEFT(W36,1)),0))/4)</f>
        <v/>
      </c>
      <c r="X12" s="12" t="n"/>
      <c r="Y12" s="24">
        <f>IF(Y17="","",(IFERROR(VALUE(LEFT(Y36,1)),0))/4)</f>
        <v/>
      </c>
      <c r="Z12" s="12" t="n"/>
      <c r="AA12" s="24">
        <f>IF(AA17="","",(IFERROR(VALUE(LEFT(AA36,1)),0))/4)</f>
        <v/>
      </c>
      <c r="AB12" s="12" t="n"/>
      <c r="AC12" s="24">
        <f>IF(AC17="","",(IFERROR(VALUE(LEFT(AC36,1)),0))/4)</f>
        <v/>
      </c>
      <c r="AD12" s="12" t="n"/>
      <c r="AE12" s="24">
        <f>IF(AE17="","",(IFERROR(VALUE(LEFT(AE36,1)),0))/4)</f>
        <v/>
      </c>
      <c r="AF12" s="12" t="n"/>
      <c r="AG12" s="24">
        <f>IF(AG17="","",(IFERROR(VALUE(LEFT(AG36,1)),0))/4)</f>
        <v/>
      </c>
      <c r="AH12" s="12" t="n"/>
      <c r="AI12" s="24">
        <f>IF(AI17="","",(IFERROR(VALUE(LEFT(AI36,1)),0))/4)</f>
        <v/>
      </c>
      <c r="AJ12" s="12" t="n"/>
      <c r="AK12" s="24">
        <f>IF(AK17="","",(IFERROR(VALUE(LEFT(AK36,1)),0))/4)</f>
        <v/>
      </c>
      <c r="AL12" s="12" t="n"/>
    </row>
    <row r="13" ht="17" customHeight="1">
      <c r="C13" s="25" t="inlineStr">
        <is>
          <t>Clinician fit</t>
        </is>
      </c>
      <c r="F13" s="10" t="inlineStr">
        <is>
          <t>marks earned ÷ marks available</t>
        </is>
      </c>
      <c r="G13" s="24">
        <f>IF(G17="","",(IFERROR(VALUE(LEFT(G40,1)),0))/4)</f>
        <v/>
      </c>
      <c r="H13" s="12" t="n"/>
      <c r="I13" s="24">
        <f>IF(I17="","",(IFERROR(VALUE(LEFT(I40,1)),0))/4)</f>
        <v/>
      </c>
      <c r="J13" s="12" t="n"/>
      <c r="K13" s="24">
        <f>IF(K17="","",(IFERROR(VALUE(LEFT(K40,1)),0))/4)</f>
        <v/>
      </c>
      <c r="L13" s="12" t="n"/>
      <c r="M13" s="24">
        <f>IF(M17="","",(IFERROR(VALUE(LEFT(M40,1)),0))/4)</f>
        <v/>
      </c>
      <c r="N13" s="12" t="n"/>
      <c r="O13" s="24">
        <f>IF(O17="","",(IFERROR(VALUE(LEFT(O40,1)),0))/4)</f>
        <v/>
      </c>
      <c r="P13" s="12" t="n"/>
      <c r="Q13" s="24">
        <f>IF(Q17="","",(IFERROR(VALUE(LEFT(Q40,1)),0))/4)</f>
        <v/>
      </c>
      <c r="R13" s="12" t="n"/>
      <c r="S13" s="24">
        <f>IF(S17="","",(IFERROR(VALUE(LEFT(S40,1)),0))/4)</f>
        <v/>
      </c>
      <c r="T13" s="12" t="n"/>
      <c r="U13" s="24">
        <f>IF(U17="","",(IFERROR(VALUE(LEFT(U40,1)),0))/4)</f>
        <v/>
      </c>
      <c r="V13" s="12" t="n"/>
      <c r="W13" s="24">
        <f>IF(W17="","",(IFERROR(VALUE(LEFT(W40,1)),0))/4)</f>
        <v/>
      </c>
      <c r="X13" s="12" t="n"/>
      <c r="Y13" s="24">
        <f>IF(Y17="","",(IFERROR(VALUE(LEFT(Y40,1)),0))/4)</f>
        <v/>
      </c>
      <c r="Z13" s="12" t="n"/>
      <c r="AA13" s="24">
        <f>IF(AA17="","",(IFERROR(VALUE(LEFT(AA40,1)),0))/4)</f>
        <v/>
      </c>
      <c r="AB13" s="12" t="n"/>
      <c r="AC13" s="24">
        <f>IF(AC17="","",(IFERROR(VALUE(LEFT(AC40,1)),0))/4)</f>
        <v/>
      </c>
      <c r="AD13" s="12" t="n"/>
      <c r="AE13" s="24">
        <f>IF(AE17="","",(IFERROR(VALUE(LEFT(AE40,1)),0))/4)</f>
        <v/>
      </c>
      <c r="AF13" s="12" t="n"/>
      <c r="AG13" s="24">
        <f>IF(AG17="","",(IFERROR(VALUE(LEFT(AG40,1)),0))/4)</f>
        <v/>
      </c>
      <c r="AH13" s="12" t="n"/>
      <c r="AI13" s="24">
        <f>IF(AI17="","",(IFERROR(VALUE(LEFT(AI40,1)),0))/4)</f>
        <v/>
      </c>
      <c r="AJ13" s="12" t="n"/>
      <c r="AK13" s="24">
        <f>IF(AK17="","",(IFERROR(VALUE(LEFT(AK40,1)),0))/4)</f>
        <v/>
      </c>
      <c r="AL13" s="12" t="n"/>
    </row>
    <row r="14" ht="17" customHeight="1">
      <c r="C14" s="25" t="inlineStr">
        <is>
          <t>Partnership</t>
        </is>
      </c>
      <c r="F14" s="10" t="inlineStr">
        <is>
          <t>marks earned ÷ marks available</t>
        </is>
      </c>
      <c r="G14" s="24">
        <f>IF(G17="","",(IFERROR(VALUE(LEFT(G43,1)),0))/4)</f>
        <v/>
      </c>
      <c r="H14" s="12" t="n"/>
      <c r="I14" s="24">
        <f>IF(I17="","",(IFERROR(VALUE(LEFT(I43,1)),0))/4)</f>
        <v/>
      </c>
      <c r="J14" s="12" t="n"/>
      <c r="K14" s="24">
        <f>IF(K17="","",(IFERROR(VALUE(LEFT(K43,1)),0))/4)</f>
        <v/>
      </c>
      <c r="L14" s="12" t="n"/>
      <c r="M14" s="24">
        <f>IF(M17="","",(IFERROR(VALUE(LEFT(M43,1)),0))/4)</f>
        <v/>
      </c>
      <c r="N14" s="12" t="n"/>
      <c r="O14" s="24">
        <f>IF(O17="","",(IFERROR(VALUE(LEFT(O43,1)),0))/4)</f>
        <v/>
      </c>
      <c r="P14" s="12" t="n"/>
      <c r="Q14" s="24">
        <f>IF(Q17="","",(IFERROR(VALUE(LEFT(Q43,1)),0))/4)</f>
        <v/>
      </c>
      <c r="R14" s="12" t="n"/>
      <c r="S14" s="24">
        <f>IF(S17="","",(IFERROR(VALUE(LEFT(S43,1)),0))/4)</f>
        <v/>
      </c>
      <c r="T14" s="12" t="n"/>
      <c r="U14" s="24">
        <f>IF(U17="","",(IFERROR(VALUE(LEFT(U43,1)),0))/4)</f>
        <v/>
      </c>
      <c r="V14" s="12" t="n"/>
      <c r="W14" s="24">
        <f>IF(W17="","",(IFERROR(VALUE(LEFT(W43,1)),0))/4)</f>
        <v/>
      </c>
      <c r="X14" s="12" t="n"/>
      <c r="Y14" s="24">
        <f>IF(Y17="","",(IFERROR(VALUE(LEFT(Y43,1)),0))/4)</f>
        <v/>
      </c>
      <c r="Z14" s="12" t="n"/>
      <c r="AA14" s="24">
        <f>IF(AA17="","",(IFERROR(VALUE(LEFT(AA43,1)),0))/4)</f>
        <v/>
      </c>
      <c r="AB14" s="12" t="n"/>
      <c r="AC14" s="24">
        <f>IF(AC17="","",(IFERROR(VALUE(LEFT(AC43,1)),0))/4)</f>
        <v/>
      </c>
      <c r="AD14" s="12" t="n"/>
      <c r="AE14" s="24">
        <f>IF(AE17="","",(IFERROR(VALUE(LEFT(AE43,1)),0))/4)</f>
        <v/>
      </c>
      <c r="AF14" s="12" t="n"/>
      <c r="AG14" s="24">
        <f>IF(AG17="","",(IFERROR(VALUE(LEFT(AG43,1)),0))/4)</f>
        <v/>
      </c>
      <c r="AH14" s="12" t="n"/>
      <c r="AI14" s="24">
        <f>IF(AI17="","",(IFERROR(VALUE(LEFT(AI43,1)),0))/4)</f>
        <v/>
      </c>
      <c r="AJ14" s="12" t="n"/>
      <c r="AK14" s="24">
        <f>IF(AK17="","",(IFERROR(VALUE(LEFT(AK43,1)),0))/4)</f>
        <v/>
      </c>
      <c r="AL14" s="12" t="n"/>
    </row>
    <row r="16" ht="21" customHeight="1">
      <c r="B16" s="26" t="inlineStr">
        <is>
          <t>A  ·  COMPANY AND PRODUCT</t>
        </is>
      </c>
    </row>
    <row r="17" ht="40" customHeight="1">
      <c r="B17" s="27" t="inlineStr">
        <is>
          <t>A1</t>
        </is>
      </c>
      <c r="C17" s="28" t="inlineStr">
        <is>
          <t>Home Care Home Base integration</t>
        </is>
      </c>
      <c r="D17" s="29" t="inlineStr">
        <is>
          <t>Pick the line that matches their answer</t>
        </is>
      </c>
      <c r="E17" s="30">
        <f>'Start Here'!$C$10</f>
        <v/>
      </c>
      <c r="F17" s="31" t="inlineStr">
        <is>
          <t>20  Live, established customer base   ·   16  Live, small customer base   ·   12  Live, through a partner   ·   6  In development, with a date   ·   2  On the roadmap, no date   ·   0  None, and no path to one</t>
        </is>
      </c>
      <c r="G17" s="32" t="inlineStr">
        <is>
          <t>Live — established customer base</t>
        </is>
      </c>
      <c r="H17" s="33" t="inlineStr">
        <is>
          <t>Live since Mar 2024, four HCHB customers, published API both ways. Says HCHB is authoritative for orders, they own assignment. CLAIM: bi-directional. EVIDENCE: named the conflict rule, which is the hard part — believable.</t>
        </is>
      </c>
      <c r="I17" s="32" t="inlineStr">
        <is>
          <t>Live — small customer base</t>
        </is>
      </c>
      <c r="J17" s="33" t="inlineStr">
        <is>
          <t>One customer, live 8 months. CLAIM: full integration. EVIDENCE: describes a nightly file drop. That is not the same thing — ask.</t>
        </is>
      </c>
      <c r="K17" s="32" t="inlineStr">
        <is>
          <t>In development — with a date</t>
        </is>
      </c>
      <c r="L17" s="33" t="inlineStr">
        <is>
          <t>Not live. Q2 2027 target, named an engineer and a scope. CLAIM is modest and EVIDENCE matches it — the most honest A1 we have had.</t>
        </is>
      </c>
      <c r="M17" s="32" t="n"/>
      <c r="N17" s="33" t="n"/>
      <c r="O17" s="32" t="n"/>
      <c r="P17" s="33" t="n"/>
      <c r="Q17" s="32" t="n"/>
      <c r="R17" s="33" t="n"/>
      <c r="S17" s="32" t="n"/>
      <c r="T17" s="33" t="n"/>
      <c r="U17" s="32" t="n"/>
      <c r="V17" s="33" t="n"/>
      <c r="W17" s="32" t="n"/>
      <c r="X17" s="33" t="n"/>
      <c r="Y17" s="32" t="n"/>
      <c r="Z17" s="33" t="n"/>
      <c r="AA17" s="32" t="n"/>
      <c r="AB17" s="33" t="n"/>
      <c r="AC17" s="32" t="n"/>
      <c r="AD17" s="33" t="n"/>
      <c r="AE17" s="32" t="n"/>
      <c r="AF17" s="33" t="n"/>
      <c r="AG17" s="32" t="n"/>
      <c r="AH17" s="33" t="n"/>
      <c r="AI17" s="32" t="n"/>
      <c r="AJ17" s="33" t="n"/>
      <c r="AK17" s="32" t="n"/>
      <c r="AL17" s="33" t="n"/>
    </row>
    <row r="18" ht="24" customHeight="1">
      <c r="B18" s="34" t="inlineStr">
        <is>
          <t>A2</t>
        </is>
      </c>
      <c r="C18" s="35" t="inlineStr">
        <is>
          <t>Customers, scale and references</t>
        </is>
      </c>
      <c r="D18" s="36" t="inlineStr">
        <is>
          <t>Stop-check if one customer, or no references offered</t>
        </is>
      </c>
      <c r="E18" s="37" t="n"/>
      <c r="F18" s="38" t="inlineStr">
        <is>
          <t>OK   ·   Watch   ·   STOP-CHECK  — resolved before advancing, not traded against points</t>
        </is>
      </c>
      <c r="G18" s="39" t="inlineStr">
        <is>
          <t>OK</t>
        </is>
      </c>
      <c r="H18" s="40" t="n"/>
      <c r="I18" s="39" t="inlineStr">
        <is>
          <t>STOP-CHECK</t>
        </is>
      </c>
      <c r="J18" s="40" t="inlineStr">
        <is>
          <t>One customer. References 'available on request' — they did not commit.</t>
        </is>
      </c>
      <c r="K18" s="39" t="inlineStr">
        <is>
          <t>OK</t>
        </is>
      </c>
      <c r="L18" s="40" t="n"/>
      <c r="M18" s="39" t="n"/>
      <c r="N18" s="40" t="n"/>
      <c r="O18" s="39" t="n"/>
      <c r="P18" s="40" t="n"/>
      <c r="Q18" s="39" t="n"/>
      <c r="R18" s="40" t="n"/>
      <c r="S18" s="39" t="n"/>
      <c r="T18" s="40" t="n"/>
      <c r="U18" s="39" t="n"/>
      <c r="V18" s="40" t="n"/>
      <c r="W18" s="39" t="n"/>
      <c r="X18" s="40" t="n"/>
      <c r="Y18" s="39" t="n"/>
      <c r="Z18" s="40" t="n"/>
      <c r="AA18" s="39" t="n"/>
      <c r="AB18" s="40" t="n"/>
      <c r="AC18" s="39" t="n"/>
      <c r="AD18" s="40" t="n"/>
      <c r="AE18" s="39" t="n"/>
      <c r="AF18" s="40" t="n"/>
      <c r="AG18" s="39" t="n"/>
      <c r="AH18" s="40" t="n"/>
      <c r="AI18" s="39" t="n"/>
      <c r="AJ18" s="40" t="n"/>
      <c r="AK18" s="39" t="n"/>
      <c r="AL18" s="40" t="n"/>
    </row>
    <row r="19" ht="24" customHeight="1">
      <c r="B19" s="34" t="inlineStr">
        <is>
          <t>A3</t>
        </is>
      </c>
      <c r="C19" s="35" t="inlineStr">
        <is>
          <t>Measured impact</t>
        </is>
      </c>
      <c r="D19" s="36" t="inlineStr">
        <is>
          <t>Watch if claimed with no baseline or period</t>
        </is>
      </c>
      <c r="E19" s="37" t="n"/>
      <c r="F19" s="38" t="inlineStr">
        <is>
          <t>OK   ·   Watch   ·   STOP-CHECK  — resolved before advancing, not traded against points</t>
        </is>
      </c>
      <c r="G19" s="39" t="inlineStr">
        <is>
          <t>Watch</t>
        </is>
      </c>
      <c r="H19" s="40" t="inlineStr">
        <is>
          <t>14% mileage reduction — one site, nine months. CLAIM is big, EVIDENCE is thin. Ask.</t>
        </is>
      </c>
      <c r="I19" s="39" t="inlineStr">
        <is>
          <t>Watch</t>
        </is>
      </c>
      <c r="J19" s="40" t="n"/>
      <c r="K19" s="39" t="inlineStr">
        <is>
          <t>OK</t>
        </is>
      </c>
      <c r="L19" s="40" t="n"/>
      <c r="M19" s="39" t="n"/>
      <c r="N19" s="40" t="n"/>
      <c r="O19" s="39" t="n"/>
      <c r="P19" s="40" t="n"/>
      <c r="Q19" s="39" t="n"/>
      <c r="R19" s="40" t="n"/>
      <c r="S19" s="39" t="n"/>
      <c r="T19" s="40" t="n"/>
      <c r="U19" s="39" t="n"/>
      <c r="V19" s="40" t="n"/>
      <c r="W19" s="39" t="n"/>
      <c r="X19" s="40" t="n"/>
      <c r="Y19" s="39" t="n"/>
      <c r="Z19" s="40" t="n"/>
      <c r="AA19" s="39" t="n"/>
      <c r="AB19" s="40" t="n"/>
      <c r="AC19" s="39" t="n"/>
      <c r="AD19" s="40" t="n"/>
      <c r="AE19" s="39" t="n"/>
      <c r="AF19" s="40" t="n"/>
      <c r="AG19" s="39" t="n"/>
      <c r="AH19" s="40" t="n"/>
      <c r="AI19" s="39" t="n"/>
      <c r="AJ19" s="40" t="n"/>
      <c r="AK19" s="39" t="n"/>
      <c r="AL19" s="40" t="n"/>
    </row>
    <row r="21" ht="21" customHeight="1">
      <c r="B21" s="26" t="inlineStr">
        <is>
          <t>B  ·  COVERAGE SELF-ASSESSMENT   —   how much of our scope they cover</t>
        </is>
      </c>
    </row>
    <row r="22" ht="17" customHeight="1">
      <c r="B22" s="41" t="inlineStr">
        <is>
          <t>CAPACITY   —   three marks of 0–4</t>
        </is>
      </c>
    </row>
    <row r="23" ht="26" customHeight="1">
      <c r="B23" s="34" t="inlineStr">
        <is>
          <t>Section B</t>
        </is>
      </c>
      <c r="C23" s="35" t="inlineStr">
        <is>
          <t>Workforce supply</t>
        </is>
      </c>
      <c r="D23" s="36" t="inlineStr">
        <is>
          <t>Roster, disciplines, roles, competencies, ramp, float pool</t>
        </is>
      </c>
      <c r="E23" s="42">
        <f>'Start Here'!$C$11</f>
        <v/>
      </c>
      <c r="F23" s="38" t="inlineStr">
        <is>
          <t>4  Most of it   ·   3  More than half   ·   2  About half   ·   1  A corner of it   ·   0  Nothing here</t>
        </is>
      </c>
      <c r="G23" s="39" t="inlineStr">
        <is>
          <t>4 — Most of it</t>
        </is>
      </c>
      <c r="H23" s="40" t="n"/>
      <c r="I23" s="39" t="inlineStr">
        <is>
          <t>2 — About half</t>
        </is>
      </c>
      <c r="J23" s="40" t="n"/>
      <c r="K23" s="39" t="inlineStr">
        <is>
          <t>2 — About half</t>
        </is>
      </c>
      <c r="L23" s="40" t="n"/>
      <c r="M23" s="39" t="n"/>
      <c r="N23" s="40" t="n"/>
      <c r="O23" s="39" t="n"/>
      <c r="P23" s="40" t="n"/>
      <c r="Q23" s="39" t="n"/>
      <c r="R23" s="40" t="n"/>
      <c r="S23" s="39" t="n"/>
      <c r="T23" s="40" t="n"/>
      <c r="U23" s="39" t="n"/>
      <c r="V23" s="40" t="n"/>
      <c r="W23" s="39" t="n"/>
      <c r="X23" s="40" t="n"/>
      <c r="Y23" s="39" t="n"/>
      <c r="Z23" s="40" t="n"/>
      <c r="AA23" s="39" t="n"/>
      <c r="AB23" s="40" t="n"/>
      <c r="AC23" s="39" t="n"/>
      <c r="AD23" s="40" t="n"/>
      <c r="AE23" s="39" t="n"/>
      <c r="AF23" s="40" t="n"/>
      <c r="AG23" s="39" t="n"/>
      <c r="AH23" s="40" t="n"/>
      <c r="AI23" s="39" t="n"/>
      <c r="AJ23" s="40" t="n"/>
      <c r="AK23" s="39" t="n"/>
      <c r="AL23" s="40" t="n"/>
    </row>
    <row r="24" ht="26" customHeight="1">
      <c r="B24" s="34" t="inlineStr">
        <is>
          <t>Section B</t>
        </is>
      </c>
      <c r="C24" s="35" t="inlineStr">
        <is>
          <t>Availability &amp; reach</t>
        </is>
      </c>
      <c r="D24" s="36" t="inlineStr">
        <is>
          <t>Availability and time off, territory, drive-time reachability</t>
        </is>
      </c>
      <c r="F24" s="38" t="inlineStr">
        <is>
          <t>4  Most of it   ·   3  More than half   ·   2  About half   ·   1  A corner of it   ·   0  Nothing here</t>
        </is>
      </c>
      <c r="G24" s="39" t="inlineStr">
        <is>
          <t>3 — More than half</t>
        </is>
      </c>
      <c r="H24" s="40" t="n"/>
      <c r="I24" s="39" t="inlineStr">
        <is>
          <t>1 — A corner of it</t>
        </is>
      </c>
      <c r="J24" s="40" t="n"/>
      <c r="K24" s="39" t="inlineStr">
        <is>
          <t>2 — About half</t>
        </is>
      </c>
      <c r="L24" s="40" t="n"/>
      <c r="M24" s="39" t="n"/>
      <c r="N24" s="40" t="n"/>
      <c r="O24" s="39" t="n"/>
      <c r="P24" s="40" t="n"/>
      <c r="Q24" s="39" t="n"/>
      <c r="R24" s="40" t="n"/>
      <c r="S24" s="39" t="n"/>
      <c r="T24" s="40" t="n"/>
      <c r="U24" s="39" t="n"/>
      <c r="V24" s="40" t="n"/>
      <c r="W24" s="39" t="n"/>
      <c r="X24" s="40" t="n"/>
      <c r="Y24" s="39" t="n"/>
      <c r="Z24" s="40" t="n"/>
      <c r="AA24" s="39" t="n"/>
      <c r="AB24" s="40" t="n"/>
      <c r="AC24" s="39" t="n"/>
      <c r="AD24" s="40" t="n"/>
      <c r="AE24" s="39" t="n"/>
      <c r="AF24" s="40" t="n"/>
      <c r="AG24" s="39" t="n"/>
      <c r="AH24" s="40" t="n"/>
      <c r="AI24" s="39" t="n"/>
      <c r="AJ24" s="40" t="n"/>
      <c r="AK24" s="39" t="n"/>
      <c r="AL24" s="40" t="n"/>
    </row>
    <row r="25" ht="26" customHeight="1">
      <c r="B25" s="34" t="inlineStr">
        <is>
          <t>Section B</t>
        </is>
      </c>
      <c r="C25" s="35" t="inlineStr">
        <is>
          <t>The capacity math</t>
        </is>
      </c>
      <c r="D25" s="36" t="inlineStr">
        <is>
          <t>Visit weighting, targets and ceilings, committed load vs. open room</t>
        </is>
      </c>
      <c r="F25" s="38" t="inlineStr">
        <is>
          <t>4  Most of it   ·   3  More than half   ·   2  About half   ·   1  A corner of it   ·   0  Nothing here</t>
        </is>
      </c>
      <c r="G25" s="39" t="inlineStr">
        <is>
          <t>4 — Most of it</t>
        </is>
      </c>
      <c r="H25" s="40" t="inlineStr">
        <is>
          <t>Visit points against a weekly target, committed vs open by day and territory (C1). CLAIM and EVIDENCE line up.</t>
        </is>
      </c>
      <c r="I25" s="39" t="inlineStr">
        <is>
          <t>1 — A corner of it</t>
        </is>
      </c>
      <c r="J25" s="40" t="n"/>
      <c r="K25" s="39" t="inlineStr">
        <is>
          <t>3 — More than half</t>
        </is>
      </c>
      <c r="L25" s="40" t="n"/>
      <c r="M25" s="39" t="n"/>
      <c r="N25" s="40" t="n"/>
      <c r="O25" s="39" t="n"/>
      <c r="P25" s="40" t="n"/>
      <c r="Q25" s="39" t="n"/>
      <c r="R25" s="40" t="n"/>
      <c r="S25" s="39" t="n"/>
      <c r="T25" s="40" t="n"/>
      <c r="U25" s="39" t="n"/>
      <c r="V25" s="40" t="n"/>
      <c r="W25" s="39" t="n"/>
      <c r="X25" s="40" t="n"/>
      <c r="Y25" s="39" t="n"/>
      <c r="Z25" s="40" t="n"/>
      <c r="AA25" s="39" t="n"/>
      <c r="AB25" s="40" t="n"/>
      <c r="AC25" s="39" t="n"/>
      <c r="AD25" s="40" t="n"/>
      <c r="AE25" s="39" t="n"/>
      <c r="AF25" s="40" t="n"/>
      <c r="AG25" s="39" t="n"/>
      <c r="AH25" s="40" t="n"/>
      <c r="AI25" s="39" t="n"/>
      <c r="AJ25" s="40" t="n"/>
      <c r="AK25" s="39" t="n"/>
      <c r="AL25" s="40" t="n"/>
    </row>
    <row r="26" ht="17" customHeight="1">
      <c r="B26" s="43" t="inlineStr">
        <is>
          <t>SCHEDULING   —   three marks of 0–4</t>
        </is>
      </c>
    </row>
    <row r="27" ht="26" customHeight="1">
      <c r="B27" s="27" t="inlineStr">
        <is>
          <t>Section B</t>
        </is>
      </c>
      <c r="C27" s="28" t="inlineStr">
        <is>
          <t>Demand &amp; matching</t>
        </is>
      </c>
      <c r="D27" s="29" t="inlineStr">
        <is>
          <t>Ordered visits, authorization, readiness — and who fits them</t>
        </is>
      </c>
      <c r="E27" s="44">
        <f>'Start Here'!$C$12</f>
        <v/>
      </c>
      <c r="F27" s="31" t="inlineStr">
        <is>
          <t>4  Most of it   ·   3  More than half   ·   2  About half   ·   1  A corner of it   ·   0  Nothing here</t>
        </is>
      </c>
      <c r="G27" s="32" t="inlineStr">
        <is>
          <t>4 — Most of it</t>
        </is>
      </c>
      <c r="H27" s="33" t="n"/>
      <c r="I27" s="32" t="inlineStr">
        <is>
          <t>3 — More than half</t>
        </is>
      </c>
      <c r="J27" s="33" t="n"/>
      <c r="K27" s="32" t="inlineStr">
        <is>
          <t>3 — More than half</t>
        </is>
      </c>
      <c r="L27" s="33" t="n"/>
      <c r="M27" s="32" t="n"/>
      <c r="N27" s="33" t="n"/>
      <c r="O27" s="32" t="n"/>
      <c r="P27" s="33" t="n"/>
      <c r="Q27" s="32" t="n"/>
      <c r="R27" s="33" t="n"/>
      <c r="S27" s="32" t="n"/>
      <c r="T27" s="33" t="n"/>
      <c r="U27" s="32" t="n"/>
      <c r="V27" s="33" t="n"/>
      <c r="W27" s="32" t="n"/>
      <c r="X27" s="33" t="n"/>
      <c r="Y27" s="32" t="n"/>
      <c r="Z27" s="33" t="n"/>
      <c r="AA27" s="32" t="n"/>
      <c r="AB27" s="33" t="n"/>
      <c r="AC27" s="32" t="n"/>
      <c r="AD27" s="33" t="n"/>
      <c r="AE27" s="32" t="n"/>
      <c r="AF27" s="33" t="n"/>
      <c r="AG27" s="32" t="n"/>
      <c r="AH27" s="33" t="n"/>
      <c r="AI27" s="32" t="n"/>
      <c r="AJ27" s="33" t="n"/>
      <c r="AK27" s="32" t="n"/>
      <c r="AL27" s="33" t="n"/>
    </row>
    <row r="28" ht="26" customHeight="1">
      <c r="B28" s="27" t="inlineStr">
        <is>
          <t>Section B</t>
        </is>
      </c>
      <c r="C28" s="28" t="inlineStr">
        <is>
          <t>Routing &amp; the week</t>
        </is>
      </c>
      <c r="D28" s="29" t="inlineStr">
        <is>
          <t>Routing, sequencing, front-loading, week balancing</t>
        </is>
      </c>
      <c r="F28" s="31" t="inlineStr">
        <is>
          <t>4  Most of it   ·   3  More than half   ·   2  About half   ·   1  A corner of it   ·   0  Nothing here</t>
        </is>
      </c>
      <c r="G28" s="32" t="inlineStr">
        <is>
          <t>4 — Most of it</t>
        </is>
      </c>
      <c r="H28" s="33" t="n"/>
      <c r="I28" s="32" t="inlineStr">
        <is>
          <t>4 — Most of it</t>
        </is>
      </c>
      <c r="J28" s="33" t="inlineStr">
        <is>
          <t>Genuine routing optimiser, OpenStreetMap, mileage cost function (C2). Best routing answer in the field so far.</t>
        </is>
      </c>
      <c r="K28" s="32" t="inlineStr">
        <is>
          <t>3 — More than half</t>
        </is>
      </c>
      <c r="L28" s="33" t="n"/>
      <c r="M28" s="32" t="n"/>
      <c r="N28" s="33" t="n"/>
      <c r="O28" s="32" t="n"/>
      <c r="P28" s="33" t="n"/>
      <c r="Q28" s="32" t="n"/>
      <c r="R28" s="33" t="n"/>
      <c r="S28" s="32" t="n"/>
      <c r="T28" s="33" t="n"/>
      <c r="U28" s="32" t="n"/>
      <c r="V28" s="33" t="n"/>
      <c r="W28" s="32" t="n"/>
      <c r="X28" s="33" t="n"/>
      <c r="Y28" s="32" t="n"/>
      <c r="Z28" s="33" t="n"/>
      <c r="AA28" s="32" t="n"/>
      <c r="AB28" s="33" t="n"/>
      <c r="AC28" s="32" t="n"/>
      <c r="AD28" s="33" t="n"/>
      <c r="AE28" s="32" t="n"/>
      <c r="AF28" s="33" t="n"/>
      <c r="AG28" s="32" t="n"/>
      <c r="AH28" s="33" t="n"/>
      <c r="AI28" s="32" t="n"/>
      <c r="AJ28" s="33" t="n"/>
      <c r="AK28" s="32" t="n"/>
      <c r="AL28" s="33" t="n"/>
    </row>
    <row r="29" ht="26" customHeight="1">
      <c r="B29" s="27" t="inlineStr">
        <is>
          <t>Section B</t>
        </is>
      </c>
      <c r="C29" s="28" t="inlineStr">
        <is>
          <t>Exceptions</t>
        </is>
      </c>
      <c r="D29" s="29" t="inlineStr">
        <is>
          <t>Missed visits, call-outs, reassignment, coverage, rebooking</t>
        </is>
      </c>
      <c r="F29" s="31" t="inlineStr">
        <is>
          <t>4  Most of it   ·   3  More than half   ·   2  About half   ·   1  A corner of it   ·   0  Nothing here</t>
        </is>
      </c>
      <c r="G29" s="32" t="inlineStr">
        <is>
          <t>3 — More than half</t>
        </is>
      </c>
      <c r="H29" s="33" t="n"/>
      <c r="I29" s="32" t="inlineStr">
        <is>
          <t>2 — About half</t>
        </is>
      </c>
      <c r="J29" s="33" t="n"/>
      <c r="K29" s="32" t="inlineStr">
        <is>
          <t>3 — More than half</t>
        </is>
      </c>
      <c r="L29" s="33" t="n"/>
      <c r="M29" s="32" t="n"/>
      <c r="N29" s="33" t="n"/>
      <c r="O29" s="32" t="n"/>
      <c r="P29" s="33" t="n"/>
      <c r="Q29" s="32" t="n"/>
      <c r="R29" s="33" t="n"/>
      <c r="S29" s="32" t="n"/>
      <c r="T29" s="33" t="n"/>
      <c r="U29" s="32" t="n"/>
      <c r="V29" s="33" t="n"/>
      <c r="W29" s="32" t="n"/>
      <c r="X29" s="33" t="n"/>
      <c r="Y29" s="32" t="n"/>
      <c r="Z29" s="33" t="n"/>
      <c r="AA29" s="32" t="n"/>
      <c r="AB29" s="33" t="n"/>
      <c r="AC29" s="32" t="n"/>
      <c r="AD29" s="33" t="n"/>
      <c r="AE29" s="32" t="n"/>
      <c r="AF29" s="33" t="n"/>
      <c r="AG29" s="32" t="n"/>
      <c r="AH29" s="33" t="n"/>
      <c r="AI29" s="32" t="n"/>
      <c r="AJ29" s="33" t="n"/>
      <c r="AK29" s="32" t="n"/>
      <c r="AL29" s="33" t="n"/>
    </row>
    <row r="30" ht="17" customHeight="1">
      <c r="B30" s="45" t="inlineStr">
        <is>
          <t>ENGAGEMENT   —   three marks of 0–4</t>
        </is>
      </c>
    </row>
    <row r="31" ht="26" customHeight="1">
      <c r="B31" s="34" t="inlineStr">
        <is>
          <t>Section B</t>
        </is>
      </c>
      <c r="C31" s="35" t="inlineStr">
        <is>
          <t>Before the visit</t>
        </is>
      </c>
      <c r="D31" s="36" t="inlineStr">
        <is>
          <t>Welcome call, availability capture, reminders, confirmation, en-route</t>
        </is>
      </c>
      <c r="E31" s="46">
        <f>'Start Here'!$C$13</f>
        <v/>
      </c>
      <c r="F31" s="38" t="inlineStr">
        <is>
          <t>4  Most of it   ·   3  More than half   ·   2  About half   ·   1  A corner of it   ·   0  Nothing here</t>
        </is>
      </c>
      <c r="G31" s="39" t="inlineStr">
        <is>
          <t>2 — About half</t>
        </is>
      </c>
      <c r="H31" s="40" t="n"/>
      <c r="I31" s="39" t="inlineStr">
        <is>
          <t>1 — A corner of it</t>
        </is>
      </c>
      <c r="J31" s="40" t="n"/>
      <c r="K31" s="39" t="inlineStr">
        <is>
          <t>3 — More than half</t>
        </is>
      </c>
      <c r="L31" s="40" t="n"/>
      <c r="M31" s="39" t="n"/>
      <c r="N31" s="40" t="n"/>
      <c r="O31" s="39" t="n"/>
      <c r="P31" s="40" t="n"/>
      <c r="Q31" s="39" t="n"/>
      <c r="R31" s="40" t="n"/>
      <c r="S31" s="39" t="n"/>
      <c r="T31" s="40" t="n"/>
      <c r="U31" s="39" t="n"/>
      <c r="V31" s="40" t="n"/>
      <c r="W31" s="39" t="n"/>
      <c r="X31" s="40" t="n"/>
      <c r="Y31" s="39" t="n"/>
      <c r="Z31" s="40" t="n"/>
      <c r="AA31" s="39" t="n"/>
      <c r="AB31" s="40" t="n"/>
      <c r="AC31" s="39" t="n"/>
      <c r="AD31" s="40" t="n"/>
      <c r="AE31" s="39" t="n"/>
      <c r="AF31" s="40" t="n"/>
      <c r="AG31" s="39" t="n"/>
      <c r="AH31" s="40" t="n"/>
      <c r="AI31" s="39" t="n"/>
      <c r="AJ31" s="40" t="n"/>
      <c r="AK31" s="39" t="n"/>
      <c r="AL31" s="40" t="n"/>
    </row>
    <row r="32" ht="26" customHeight="1">
      <c r="B32" s="34" t="inlineStr">
        <is>
          <t>Section B</t>
        </is>
      </c>
      <c r="C32" s="35" t="inlineStr">
        <is>
          <t>When plans change</t>
        </is>
      </c>
      <c r="D32" s="36" t="inlineStr">
        <is>
          <t>Reschedule, coverage outreach, urgent same-day needs, incentives</t>
        </is>
      </c>
      <c r="F32" s="38" t="inlineStr">
        <is>
          <t>4  Most of it   ·   3  More than half   ·   2  About half   ·   1  A corner of it   ·   0  Nothing here</t>
        </is>
      </c>
      <c r="G32" s="39" t="inlineStr">
        <is>
          <t>2 — About half</t>
        </is>
      </c>
      <c r="H32" s="40" t="n"/>
      <c r="I32" s="39" t="inlineStr">
        <is>
          <t>1 — A corner of it</t>
        </is>
      </c>
      <c r="J32" s="40" t="n"/>
      <c r="K32" s="39" t="inlineStr">
        <is>
          <t>4 — Most of it</t>
        </is>
      </c>
      <c r="L32" s="40" t="inlineStr">
        <is>
          <t>Agentic outreach genuinely running — voice and text, staff can take the conversation back mid-call (C7).</t>
        </is>
      </c>
      <c r="M32" s="39" t="n"/>
      <c r="N32" s="40" t="n"/>
      <c r="O32" s="39" t="n"/>
      <c r="P32" s="40" t="n"/>
      <c r="Q32" s="39" t="n"/>
      <c r="R32" s="40" t="n"/>
      <c r="S32" s="39" t="n"/>
      <c r="T32" s="40" t="n"/>
      <c r="U32" s="39" t="n"/>
      <c r="V32" s="40" t="n"/>
      <c r="W32" s="39" t="n"/>
      <c r="X32" s="40" t="n"/>
      <c r="Y32" s="39" t="n"/>
      <c r="Z32" s="40" t="n"/>
      <c r="AA32" s="39" t="n"/>
      <c r="AB32" s="40" t="n"/>
      <c r="AC32" s="39" t="n"/>
      <c r="AD32" s="40" t="n"/>
      <c r="AE32" s="39" t="n"/>
      <c r="AF32" s="40" t="n"/>
      <c r="AG32" s="39" t="n"/>
      <c r="AH32" s="40" t="n"/>
      <c r="AI32" s="39" t="n"/>
      <c r="AJ32" s="40" t="n"/>
      <c r="AK32" s="39" t="n"/>
      <c r="AL32" s="40" t="n"/>
    </row>
    <row r="33" ht="26" customHeight="1">
      <c r="B33" s="34" t="inlineStr">
        <is>
          <t>Section B</t>
        </is>
      </c>
      <c r="C33" s="35" t="inlineStr">
        <is>
          <t>Across the care team</t>
        </is>
      </c>
      <c r="D33" s="36" t="inlineStr">
        <is>
          <t>Multi-discipline coordination, clinician and office updates</t>
        </is>
      </c>
      <c r="F33" s="38" t="inlineStr">
        <is>
          <t>4  Most of it   ·   3  More than half   ·   2  About half   ·   1  A corner of it   ·   0  Nothing here</t>
        </is>
      </c>
      <c r="G33" s="39" t="inlineStr">
        <is>
          <t>1 — A corner of it</t>
        </is>
      </c>
      <c r="H33" s="40" t="n"/>
      <c r="I33" s="39" t="inlineStr">
        <is>
          <t>0 — Nothing here</t>
        </is>
      </c>
      <c r="J33" s="40" t="n"/>
      <c r="K33" s="39" t="inlineStr">
        <is>
          <t>2 — About half</t>
        </is>
      </c>
      <c r="L33" s="40" t="n"/>
      <c r="M33" s="39" t="n"/>
      <c r="N33" s="40" t="n"/>
      <c r="O33" s="39" t="n"/>
      <c r="P33" s="40" t="n"/>
      <c r="Q33" s="39" t="n"/>
      <c r="R33" s="40" t="n"/>
      <c r="S33" s="39" t="n"/>
      <c r="T33" s="40" t="n"/>
      <c r="U33" s="39" t="n"/>
      <c r="V33" s="40" t="n"/>
      <c r="W33" s="39" t="n"/>
      <c r="X33" s="40" t="n"/>
      <c r="Y33" s="39" t="n"/>
      <c r="Z33" s="40" t="n"/>
      <c r="AA33" s="39" t="n"/>
      <c r="AB33" s="40" t="n"/>
      <c r="AC33" s="39" t="n"/>
      <c r="AD33" s="40" t="n"/>
      <c r="AE33" s="39" t="n"/>
      <c r="AF33" s="40" t="n"/>
      <c r="AG33" s="39" t="n"/>
      <c r="AH33" s="40" t="n"/>
      <c r="AI33" s="39" t="n"/>
      <c r="AJ33" s="40" t="n"/>
      <c r="AK33" s="39" t="n"/>
      <c r="AL33" s="40" t="n"/>
    </row>
    <row r="35" ht="21" customHeight="1">
      <c r="B35" s="26" t="inlineStr">
        <is>
          <t>C  ·  HOW YOUR PRODUCT WORKS</t>
        </is>
      </c>
    </row>
    <row r="36" ht="30" customHeight="1">
      <c r="B36" s="27" t="inlineStr">
        <is>
          <t>Section C</t>
        </is>
      </c>
      <c r="C36" s="28" t="inlineStr">
        <is>
          <t>Sophistication</t>
        </is>
      </c>
      <c r="D36" s="29" t="inlineStr">
        <is>
          <t>How much of the work the product does</t>
        </is>
      </c>
      <c r="E36" s="47">
        <f>'Start Here'!$C$14</f>
        <v/>
      </c>
      <c r="F36" s="31" t="inlineStr">
        <is>
          <t>4  Runs it   ·   3  Recommends it   ·   2  Checks it   ·   1  Shows it   ·   0  Not addressed</t>
        </is>
      </c>
      <c r="G36" s="32" t="inlineStr">
        <is>
          <t>4 — Runs it</t>
        </is>
      </c>
      <c r="H36" s="33" t="inlineStr">
        <is>
          <t>Constraint solver, named weights, shows envelope impact before a referral is accepted. Only answer that does this.</t>
        </is>
      </c>
      <c r="I36" s="32" t="inlineStr">
        <is>
          <t>3 — Recommends it</t>
        </is>
      </c>
      <c r="J36" s="33" t="n"/>
      <c r="K36" s="32" t="inlineStr">
        <is>
          <t>3 — Recommends it</t>
        </is>
      </c>
      <c r="L36" s="33" t="n"/>
      <c r="M36" s="32" t="n"/>
      <c r="N36" s="33" t="n"/>
      <c r="O36" s="32" t="n"/>
      <c r="P36" s="33" t="n"/>
      <c r="Q36" s="32" t="n"/>
      <c r="R36" s="33" t="n"/>
      <c r="S36" s="32" t="n"/>
      <c r="T36" s="33" t="n"/>
      <c r="U36" s="32" t="n"/>
      <c r="V36" s="33" t="n"/>
      <c r="W36" s="32" t="n"/>
      <c r="X36" s="33" t="n"/>
      <c r="Y36" s="32" t="n"/>
      <c r="Z36" s="33" t="n"/>
      <c r="AA36" s="32" t="n"/>
      <c r="AB36" s="33" t="n"/>
      <c r="AC36" s="32" t="n"/>
      <c r="AD36" s="33" t="n"/>
      <c r="AE36" s="32" t="n"/>
      <c r="AF36" s="33" t="n"/>
      <c r="AG36" s="32" t="n"/>
      <c r="AH36" s="33" t="n"/>
      <c r="AI36" s="32" t="n"/>
      <c r="AJ36" s="33" t="n"/>
      <c r="AK36" s="32" t="n"/>
      <c r="AL36" s="33" t="n"/>
    </row>
    <row r="37" ht="24" customHeight="1">
      <c r="B37" s="34" t="inlineStr">
        <is>
          <t>C6</t>
        </is>
      </c>
      <c r="C37" s="35" t="inlineStr">
        <is>
          <t>When your product is down</t>
        </is>
      </c>
      <c r="D37" s="36" t="inlineStr">
        <is>
          <t>Stop-check if no uptime figure or contractual commitment</t>
        </is>
      </c>
      <c r="E37" s="37" t="n"/>
      <c r="F37" s="38" t="inlineStr">
        <is>
          <t>OK   ·   Watch   ·   STOP-CHECK  — resolved before advancing, not traded against points</t>
        </is>
      </c>
      <c r="G37" s="39" t="inlineStr">
        <is>
          <t>OK</t>
        </is>
      </c>
      <c r="H37" s="40" t="n"/>
      <c r="I37" s="39" t="inlineStr">
        <is>
          <t>OK</t>
        </is>
      </c>
      <c r="J37" s="40" t="n"/>
      <c r="K37" s="39" t="inlineStr">
        <is>
          <t>Watch</t>
        </is>
      </c>
      <c r="L37" s="40" t="inlineStr">
        <is>
          <t>99.5% stated, no contractual commitment named. Ask.</t>
        </is>
      </c>
      <c r="M37" s="39" t="n"/>
      <c r="N37" s="40" t="n"/>
      <c r="O37" s="39" t="n"/>
      <c r="P37" s="40" t="n"/>
      <c r="Q37" s="39" t="n"/>
      <c r="R37" s="40" t="n"/>
      <c r="S37" s="39" t="n"/>
      <c r="T37" s="40" t="n"/>
      <c r="U37" s="39" t="n"/>
      <c r="V37" s="40" t="n"/>
      <c r="W37" s="39" t="n"/>
      <c r="X37" s="40" t="n"/>
      <c r="Y37" s="39" t="n"/>
      <c r="Z37" s="40" t="n"/>
      <c r="AA37" s="39" t="n"/>
      <c r="AB37" s="40" t="n"/>
      <c r="AC37" s="39" t="n"/>
      <c r="AD37" s="40" t="n"/>
      <c r="AE37" s="39" t="n"/>
      <c r="AF37" s="40" t="n"/>
      <c r="AG37" s="39" t="n"/>
      <c r="AH37" s="40" t="n"/>
      <c r="AI37" s="39" t="n"/>
      <c r="AJ37" s="40" t="n"/>
      <c r="AK37" s="39" t="n"/>
      <c r="AL37" s="40" t="n"/>
    </row>
    <row r="39" ht="21" customHeight="1">
      <c r="B39" s="26" t="inlineStr">
        <is>
          <t>D  ·  THE CLINICIAN'S PLACE IN THE MODEL</t>
        </is>
      </c>
    </row>
    <row r="40" ht="26" customHeight="1">
      <c r="B40" s="27" t="inlineStr">
        <is>
          <t>D1–D3</t>
        </is>
      </c>
      <c r="C40" s="28" t="inlineStr">
        <is>
          <t>Clinician fit</t>
        </is>
      </c>
      <c r="D40" s="29" t="inlineStr">
        <is>
          <t>Our own read of fit — no checklist, on purpose</t>
        </is>
      </c>
      <c r="E40" s="48">
        <f>'Start Here'!$C$15</f>
        <v/>
      </c>
      <c r="F40" s="31" t="inlineStr">
        <is>
          <t>4  Strong fit   ·   3  Good fit   ·   2  Workable   ·   1  Poor fit   ·   0  Not answered</t>
        </is>
      </c>
      <c r="G40" s="32" t="inlineStr">
        <is>
          <t>3 — Good fit</t>
        </is>
      </c>
      <c r="H40" s="33" t="n"/>
      <c r="I40" s="32" t="inlineStr">
        <is>
          <t>2 — Workable</t>
        </is>
      </c>
      <c r="J40" s="33" t="n"/>
      <c r="K40" s="32" t="inlineStr">
        <is>
          <t>3 — Good fit</t>
        </is>
      </c>
      <c r="L40" s="33" t="n"/>
      <c r="M40" s="32" t="n"/>
      <c r="N40" s="33" t="n"/>
      <c r="O40" s="32" t="n"/>
      <c r="P40" s="33" t="n"/>
      <c r="Q40" s="32" t="n"/>
      <c r="R40" s="33" t="n"/>
      <c r="S40" s="32" t="n"/>
      <c r="T40" s="33" t="n"/>
      <c r="U40" s="32" t="n"/>
      <c r="V40" s="33" t="n"/>
      <c r="W40" s="32" t="n"/>
      <c r="X40" s="33" t="n"/>
      <c r="Y40" s="32" t="n"/>
      <c r="Z40" s="33" t="n"/>
      <c r="AA40" s="32" t="n"/>
      <c r="AB40" s="33" t="n"/>
      <c r="AC40" s="32" t="n"/>
      <c r="AD40" s="33" t="n"/>
      <c r="AE40" s="32" t="n"/>
      <c r="AF40" s="33" t="n"/>
      <c r="AG40" s="32" t="n"/>
      <c r="AH40" s="33" t="n"/>
      <c r="AI40" s="32" t="n"/>
      <c r="AJ40" s="33" t="n"/>
      <c r="AK40" s="32" t="n"/>
      <c r="AL40" s="33" t="n"/>
    </row>
    <row r="42" ht="21" customHeight="1">
      <c r="B42" s="26" t="inlineStr">
        <is>
          <t>E  ·  FIT AND PARTNERSHIP</t>
        </is>
      </c>
    </row>
    <row r="43" ht="44" customHeight="1">
      <c r="B43" s="27" t="inlineStr">
        <is>
          <t>E1–E4</t>
        </is>
      </c>
      <c r="C43" s="28" t="inlineStr">
        <is>
          <t>Partnership</t>
        </is>
      </c>
      <c r="D43" s="29" t="inlineStr">
        <is>
          <t>Willing to build it with us, and open to a stake</t>
        </is>
      </c>
      <c r="E43" s="48">
        <f>'Start Here'!$C$16</f>
        <v/>
      </c>
      <c r="F43" s="31" t="inlineStr">
        <is>
          <t>4  Open to equity, and set up to build with us   ·   3  Builds to our needs; ownership unaddressed   ·   2  Takes our input; they own the roadmap   ·   1  Standard customer relationship   ·   0  Not answered</t>
        </is>
      </c>
      <c r="G43" s="32" t="inlineStr">
        <is>
          <t>3 — Builds to our needs; ownership unaddressed</t>
        </is>
      </c>
      <c r="H43" s="33" t="n"/>
      <c r="I43" s="32" t="inlineStr">
        <is>
          <t>2 — Takes our input; they own the roadmap</t>
        </is>
      </c>
      <c r="J43" s="33" t="n"/>
      <c r="K43" s="32" t="inlineStr">
        <is>
          <t>4 — Open to equity, and set up to build with us</t>
        </is>
      </c>
      <c r="L43" s="33" t="inlineStr">
        <is>
          <t>Proposed design-partner pricing plus an equity conversation, unprompted, in E2. Only vendor to raise ownership.</t>
        </is>
      </c>
      <c r="M43" s="32" t="n"/>
      <c r="N43" s="33" t="n"/>
      <c r="O43" s="32" t="n"/>
      <c r="P43" s="33" t="n"/>
      <c r="Q43" s="32" t="n"/>
      <c r="R43" s="33" t="n"/>
      <c r="S43" s="32" t="n"/>
      <c r="T43" s="33" t="n"/>
      <c r="U43" s="32" t="n"/>
      <c r="V43" s="33" t="n"/>
      <c r="W43" s="32" t="n"/>
      <c r="X43" s="33" t="n"/>
      <c r="Y43" s="32" t="n"/>
      <c r="Z43" s="33" t="n"/>
      <c r="AA43" s="32" t="n"/>
      <c r="AB43" s="33" t="n"/>
      <c r="AC43" s="32" t="n"/>
      <c r="AD43" s="33" t="n"/>
      <c r="AE43" s="32" t="n"/>
      <c r="AF43" s="33" t="n"/>
      <c r="AG43" s="32" t="n"/>
      <c r="AH43" s="33" t="n"/>
      <c r="AI43" s="32" t="n"/>
      <c r="AJ43" s="33" t="n"/>
      <c r="AK43" s="32" t="n"/>
      <c r="AL43" s="33" t="n"/>
    </row>
    <row r="45" ht="21" customHeight="1">
      <c r="B45" s="17" t="inlineStr">
        <is>
          <t>INTANGIBLES   —   no points.  Strong, Neutral or Concern, and why.</t>
        </is>
      </c>
    </row>
    <row r="46" ht="26" customHeight="1">
      <c r="B46" s="49" t="inlineStr">
        <is>
          <t xml:space="preserve">    Fill these after the scored sections, and let them contradict the number if that is what you see. Write the reason and your initials — in the working session someone will ask what specifically gave you that read.</t>
        </is>
      </c>
    </row>
    <row r="47" ht="28" customHeight="1">
      <c r="B47" s="34" t="inlineStr">
        <is>
          <t>Feel</t>
        </is>
      </c>
      <c r="C47" s="35" t="inlineStr">
        <is>
          <t>Home health fluency</t>
        </is>
      </c>
      <c r="D47" s="36" t="inlineStr">
        <is>
          <t>Do these read like people who have stood in a branch? Unprompted vocabulary, problems they raise that we did not ask about.</t>
        </is>
      </c>
      <c r="E47" s="37" t="n"/>
      <c r="F47" s="38" t="inlineStr">
        <is>
          <t>Strong   ·   Neutral   ·   Concern  — reason and initials in the notes</t>
        </is>
      </c>
      <c r="G47" s="39" t="inlineStr">
        <is>
          <t>Strong</t>
        </is>
      </c>
      <c r="H47" s="40" t="inlineStr">
        <is>
          <t>Uses LUPA and recert windows unprompted; raised infection-control sequencing we never asked about. — MW</t>
        </is>
      </c>
      <c r="I47" s="39" t="inlineStr">
        <is>
          <t>Neutral</t>
        </is>
      </c>
      <c r="J47" s="40" t="inlineStr">
        <is>
          <t>Competent scheduling language, no home health specifics. Reads like a logistics product that found a vertical. — MW</t>
        </is>
      </c>
      <c r="K47" s="39" t="inlineStr">
        <is>
          <t>Strong</t>
        </is>
      </c>
      <c r="L47" s="40" t="inlineStr">
        <is>
          <t>Raised payer-mix-aware sequencing, which is not on our one-pager and probably should be. — MW</t>
        </is>
      </c>
      <c r="M47" s="39" t="n"/>
      <c r="N47" s="40" t="n"/>
      <c r="O47" s="39" t="n"/>
      <c r="P47" s="40" t="n"/>
      <c r="Q47" s="39" t="n"/>
      <c r="R47" s="40" t="n"/>
      <c r="S47" s="39" t="n"/>
      <c r="T47" s="40" t="n"/>
      <c r="U47" s="39" t="n"/>
      <c r="V47" s="40" t="n"/>
      <c r="W47" s="39" t="n"/>
      <c r="X47" s="40" t="n"/>
      <c r="Y47" s="39" t="n"/>
      <c r="Z47" s="40" t="n"/>
      <c r="AA47" s="39" t="n"/>
      <c r="AB47" s="40" t="n"/>
      <c r="AC47" s="39" t="n"/>
      <c r="AD47" s="40" t="n"/>
      <c r="AE47" s="39" t="n"/>
      <c r="AF47" s="40" t="n"/>
      <c r="AG47" s="39" t="n"/>
      <c r="AH47" s="40" t="n"/>
      <c r="AI47" s="39" t="n"/>
      <c r="AJ47" s="40" t="n"/>
      <c r="AK47" s="39" t="n"/>
      <c r="AL47" s="40" t="n"/>
    </row>
    <row r="48" ht="28" customHeight="1">
      <c r="B48" s="34" t="inlineStr">
        <is>
          <t>Feel</t>
        </is>
      </c>
      <c r="C48" s="35" t="inlineStr">
        <is>
          <t>Candor about gaps</t>
        </is>
      </c>
      <c r="D48" s="36" t="inlineStr">
        <is>
          <t>Did they say 'we don't do that' anywhere? A vendor who claims everything has told us something.</t>
        </is>
      </c>
      <c r="E48" s="37" t="n"/>
      <c r="F48" s="38" t="inlineStr">
        <is>
          <t>Strong   ·   Neutral   ·   Concern  — reason and initials in the notes</t>
        </is>
      </c>
      <c r="G48" s="39" t="inlineStr">
        <is>
          <t>Strong</t>
        </is>
      </c>
      <c r="H48" s="40" t="inlineStr">
        <is>
          <t>Says plainly they do not do patient outreach. First vendor to admit anything. — MW</t>
        </is>
      </c>
      <c r="I48" s="39" t="inlineStr">
        <is>
          <t>Concern</t>
        </is>
      </c>
      <c r="J48" s="40" t="inlineStr">
        <is>
          <t>Marked all eleven areas in scope, then Section C covered four of them. — MW</t>
        </is>
      </c>
      <c r="K48" s="39" t="inlineStr">
        <is>
          <t>Strong</t>
        </is>
      </c>
      <c r="L48" s="40" t="inlineStr">
        <is>
          <t>Volunteered that their capacity model is weaker than their engagement side. Cost them points and they said it anyway. — MW</t>
        </is>
      </c>
      <c r="M48" s="39" t="n"/>
      <c r="N48" s="40" t="n"/>
      <c r="O48" s="39" t="n"/>
      <c r="P48" s="40" t="n"/>
      <c r="Q48" s="39" t="n"/>
      <c r="R48" s="40" t="n"/>
      <c r="S48" s="39" t="n"/>
      <c r="T48" s="40" t="n"/>
      <c r="U48" s="39" t="n"/>
      <c r="V48" s="40" t="n"/>
      <c r="W48" s="39" t="n"/>
      <c r="X48" s="40" t="n"/>
      <c r="Y48" s="39" t="n"/>
      <c r="Z48" s="40" t="n"/>
      <c r="AA48" s="39" t="n"/>
      <c r="AB48" s="40" t="n"/>
      <c r="AC48" s="39" t="n"/>
      <c r="AD48" s="40" t="n"/>
      <c r="AE48" s="39" t="n"/>
      <c r="AF48" s="40" t="n"/>
      <c r="AG48" s="39" t="n"/>
      <c r="AH48" s="40" t="n"/>
      <c r="AI48" s="39" t="n"/>
      <c r="AJ48" s="40" t="n"/>
      <c r="AK48" s="39" t="n"/>
      <c r="AL48" s="40" t="n"/>
    </row>
    <row r="49" ht="28" customHeight="1">
      <c r="B49" s="34" t="inlineStr">
        <is>
          <t>Feel</t>
        </is>
      </c>
      <c r="C49" s="35" t="inlineStr">
        <is>
          <t>Who wrote this</t>
        </is>
      </c>
      <c r="D49" s="36" t="inlineStr">
        <is>
          <t>Marketing, sales engineer, or someone who built it. Specificity, and willingness to name a constraint.</t>
        </is>
      </c>
      <c r="E49" s="37" t="n"/>
      <c r="F49" s="38" t="inlineStr">
        <is>
          <t>Strong   ·   Neutral   ·   Concern  — reason and initials in the notes</t>
        </is>
      </c>
      <c r="G49" s="39" t="inlineStr">
        <is>
          <t>Strong</t>
        </is>
      </c>
      <c r="H49" s="40" t="inlineStr">
        <is>
          <t>C5 reads like someone who has been paged at 2am. Named their escalation ladder without being asked. — MW</t>
        </is>
      </c>
      <c r="I49" s="39" t="inlineStr">
        <is>
          <t>Concern</t>
        </is>
      </c>
      <c r="J49" s="40" t="inlineStr">
        <is>
          <t>Section C is marketing prose. No mechanism anywhere. — MW</t>
        </is>
      </c>
      <c r="K49" s="39" t="inlineStr">
        <is>
          <t>Strong</t>
        </is>
      </c>
      <c r="L49" s="40" t="inlineStr">
        <is>
          <t>E4 names what they chose not to build and why. That is a product mind. — MW</t>
        </is>
      </c>
      <c r="M49" s="39" t="n"/>
      <c r="N49" s="40" t="n"/>
      <c r="O49" s="39" t="n"/>
      <c r="P49" s="40" t="n"/>
      <c r="Q49" s="39" t="n"/>
      <c r="R49" s="40" t="n"/>
      <c r="S49" s="39" t="n"/>
      <c r="T49" s="40" t="n"/>
      <c r="U49" s="39" t="n"/>
      <c r="V49" s="40" t="n"/>
      <c r="W49" s="39" t="n"/>
      <c r="X49" s="40" t="n"/>
      <c r="Y49" s="39" t="n"/>
      <c r="Z49" s="40" t="n"/>
      <c r="AA49" s="39" t="n"/>
      <c r="AB49" s="40" t="n"/>
      <c r="AC49" s="39" t="n"/>
      <c r="AD49" s="40" t="n"/>
      <c r="AE49" s="39" t="n"/>
      <c r="AF49" s="40" t="n"/>
      <c r="AG49" s="39" t="n"/>
      <c r="AH49" s="40" t="n"/>
      <c r="AI49" s="39" t="n"/>
      <c r="AJ49" s="40" t="n"/>
      <c r="AK49" s="39" t="n"/>
      <c r="AL49" s="40" t="n"/>
    </row>
    <row r="50" ht="28" customHeight="1">
      <c r="B50" s="34" t="inlineStr">
        <is>
          <t>Feel</t>
        </is>
      </c>
      <c r="C50" s="35" t="inlineStr">
        <is>
          <t>Durability</t>
        </is>
      </c>
      <c r="D50" s="36" t="inlineStr">
        <is>
          <t>Will they exist in three years, and will this still be their main business? Are we uncomfortably their largest customer?</t>
        </is>
      </c>
      <c r="E50" s="37" t="n"/>
      <c r="F50" s="38" t="inlineStr">
        <is>
          <t>Strong   ·   Neutral   ·   Concern  — reason and initials in the notes</t>
        </is>
      </c>
      <c r="G50" s="39" t="inlineStr">
        <is>
          <t>Neutral</t>
        </is>
      </c>
      <c r="H50" s="40" t="inlineStr">
        <is>
          <t>Series B, 60 people. We would be their largest by roughly 3x. — MW</t>
        </is>
      </c>
      <c r="I50" s="39" t="inlineStr">
        <is>
          <t>Concern</t>
        </is>
      </c>
      <c r="J50" s="40" t="inlineStr">
        <is>
          <t>Seed stage, 12 people, we would be 5x their largest. — MW</t>
        </is>
      </c>
      <c r="K50" s="39" t="inlineStr">
        <is>
          <t>Concern</t>
        </is>
      </c>
      <c r="L50" s="40" t="inlineStr">
        <is>
          <t>Newest company in the field. The integration is a promise on their timeline, not ours. — MW</t>
        </is>
      </c>
      <c r="M50" s="39" t="n"/>
      <c r="N50" s="40" t="n"/>
      <c r="O50" s="39" t="n"/>
      <c r="P50" s="40" t="n"/>
      <c r="Q50" s="39" t="n"/>
      <c r="R50" s="40" t="n"/>
      <c r="S50" s="39" t="n"/>
      <c r="T50" s="40" t="n"/>
      <c r="U50" s="39" t="n"/>
      <c r="V50" s="40" t="n"/>
      <c r="W50" s="39" t="n"/>
      <c r="X50" s="40" t="n"/>
      <c r="Y50" s="39" t="n"/>
      <c r="Z50" s="40" t="n"/>
      <c r="AA50" s="39" t="n"/>
      <c r="AB50" s="40" t="n"/>
      <c r="AC50" s="39" t="n"/>
      <c r="AD50" s="40" t="n"/>
      <c r="AE50" s="39" t="n"/>
      <c r="AF50" s="40" t="n"/>
      <c r="AG50" s="39" t="n"/>
      <c r="AH50" s="40" t="n"/>
      <c r="AI50" s="39" t="n"/>
      <c r="AJ50" s="40" t="n"/>
      <c r="AK50" s="39" t="n"/>
      <c r="AL50" s="40" t="n"/>
    </row>
    <row r="51" ht="28" customHeight="1">
      <c r="B51" s="34" t="inlineStr">
        <is>
          <t>Feel</t>
        </is>
      </c>
      <c r="C51" s="35" t="inlineStr">
        <is>
          <t>The room test</t>
        </is>
      </c>
      <c r="D51" s="36" t="inlineStr">
        <is>
          <t>Would we want these people in our building for two years? Leave blank until after the demo — on purpose.</t>
        </is>
      </c>
      <c r="E51" s="37" t="n"/>
      <c r="F51" s="38" t="inlineStr">
        <is>
          <t>Strong   ·   Neutral   ·   Concern  — reason and initials in the notes</t>
        </is>
      </c>
      <c r="G51" s="39" t="inlineStr"/>
      <c r="H51" s="40" t="inlineStr"/>
      <c r="I51" s="39" t="inlineStr"/>
      <c r="J51" s="40" t="inlineStr"/>
      <c r="K51" s="39" t="inlineStr"/>
      <c r="L51" s="40" t="inlineStr"/>
      <c r="M51" s="39" t="n"/>
      <c r="N51" s="40" t="n"/>
      <c r="O51" s="39" t="n"/>
      <c r="P51" s="40" t="n"/>
      <c r="Q51" s="39" t="n"/>
      <c r="R51" s="40" t="n"/>
      <c r="S51" s="39" t="n"/>
      <c r="T51" s="40" t="n"/>
      <c r="U51" s="39" t="n"/>
      <c r="V51" s="40" t="n"/>
      <c r="W51" s="39" t="n"/>
      <c r="X51" s="40" t="n"/>
      <c r="Y51" s="39" t="n"/>
      <c r="Z51" s="40" t="n"/>
      <c r="AA51" s="39" t="n"/>
      <c r="AB51" s="40" t="n"/>
      <c r="AC51" s="39" t="n"/>
      <c r="AD51" s="40" t="n"/>
      <c r="AE51" s="39" t="n"/>
      <c r="AF51" s="40" t="n"/>
      <c r="AG51" s="39" t="n"/>
      <c r="AH51" s="40" t="n"/>
      <c r="AI51" s="39" t="n"/>
      <c r="AJ51" s="40" t="n"/>
      <c r="AK51" s="39" t="n"/>
      <c r="AL51" s="40" t="n"/>
    </row>
    <row r="53" ht="21" customHeight="1">
      <c r="B53" s="50" t="inlineStr">
        <is>
          <t>NOTES   —   one line each.  This is what we go and ask.</t>
        </is>
      </c>
    </row>
    <row r="54" ht="54" customHeight="1">
      <c r="C54" s="51" t="inlineStr">
        <is>
          <t>What stands out</t>
        </is>
      </c>
      <c r="D54" s="52" t="inlineStr">
        <is>
          <t>against the field, or against our own thinking</t>
        </is>
      </c>
      <c r="E54" s="53" t="inlineStr">
        <is>
          <t>—</t>
        </is>
      </c>
      <c r="G54" s="40" t="inlineStr">
        <is>
          <t>Only answer that shows a branch leader the envelope impact of a referral before accepting it.</t>
        </is>
      </c>
      <c r="I54" s="40" t="inlineStr">
        <is>
          <t>Strong routing engine — genuinely the best in the field so far.</t>
        </is>
      </c>
      <c r="K54" s="40" t="inlineStr">
        <is>
          <t>Only vendor to raise ownership unprompted, and the only real agentic outreach we have seen.</t>
        </is>
      </c>
      <c r="M54" s="40" t="n"/>
      <c r="O54" s="40" t="n"/>
      <c r="Q54" s="40" t="n"/>
      <c r="S54" s="40" t="n"/>
      <c r="U54" s="40" t="n"/>
      <c r="W54" s="40" t="n"/>
      <c r="Y54" s="40" t="n"/>
      <c r="AA54" s="40" t="n"/>
      <c r="AC54" s="40" t="n"/>
      <c r="AE54" s="40" t="n"/>
      <c r="AG54" s="40" t="n"/>
      <c r="AI54" s="40" t="n"/>
      <c r="AK54" s="40" t="n"/>
    </row>
    <row r="55" ht="54" customHeight="1">
      <c r="C55" s="51" t="inlineStr">
        <is>
          <t>What worries me</t>
        </is>
      </c>
      <c r="D55" s="52" t="inlineStr">
        <is>
          <t>including anything flagged above</t>
        </is>
      </c>
      <c r="E55" s="53" t="inlineStr">
        <is>
          <t>—</t>
        </is>
      </c>
      <c r="G55" s="40" t="inlineStr">
        <is>
          <t>Impact figures come from one site. Engagement is genuinely thin, not modest.</t>
        </is>
      </c>
      <c r="I55" s="40" t="inlineStr">
        <is>
          <t>One customer, references not committed, and Section B claims outran Section C badly.</t>
        </is>
      </c>
      <c r="K55" s="40" t="inlineStr">
        <is>
          <t>Integration is a promise on their timeline. Youngest company in the field.</t>
        </is>
      </c>
      <c r="M55" s="40" t="n"/>
      <c r="O55" s="40" t="n"/>
      <c r="Q55" s="40" t="n"/>
      <c r="S55" s="40" t="n"/>
      <c r="U55" s="40" t="n"/>
      <c r="W55" s="40" t="n"/>
      <c r="Y55" s="40" t="n"/>
      <c r="AA55" s="40" t="n"/>
      <c r="AC55" s="40" t="n"/>
      <c r="AE55" s="40" t="n"/>
      <c r="AG55" s="40" t="n"/>
      <c r="AI55" s="40" t="n"/>
      <c r="AK55" s="40" t="n"/>
    </row>
    <row r="56" ht="54" customHeight="1">
      <c r="C56" s="51" t="inlineStr">
        <is>
          <t>What to go and ask</t>
        </is>
      </c>
      <c r="D56" s="52" t="inlineStr">
        <is>
          <t>the demo agenda</t>
        </is>
      </c>
      <c r="E56" s="53" t="inlineStr">
        <is>
          <t>—</t>
        </is>
      </c>
      <c r="G56" s="40" t="inlineStr">
        <is>
          <t>Would they discuss a stake? Never mentioned it, and E2 was the shortest answer they gave.</t>
        </is>
      </c>
      <c r="I56" s="40" t="inlineStr">
        <is>
          <t>Make them walk the HCHB integration live. A nightly file drop is not what they said.</t>
        </is>
      </c>
      <c r="K56" s="40" t="inlineStr">
        <is>
          <t>What exactly is committed on the Q2 2027 date, and by whom? Get it in writing.</t>
        </is>
      </c>
      <c r="M56" s="40" t="n"/>
      <c r="O56" s="40" t="n"/>
      <c r="Q56" s="40" t="n"/>
      <c r="S56" s="40" t="n"/>
      <c r="U56" s="40" t="n"/>
      <c r="W56" s="40" t="n"/>
      <c r="Y56" s="40" t="n"/>
      <c r="AA56" s="40" t="n"/>
      <c r="AC56" s="40" t="n"/>
      <c r="AE56" s="40" t="n"/>
      <c r="AG56" s="40" t="n"/>
      <c r="AI56" s="40" t="n"/>
      <c r="AK56" s="40" t="n"/>
    </row>
  </sheetData>
  <sheetProtection selectLockedCells="0" selectUnlockedCells="0" sheet="1" objects="0" insertRows="1" insertHyperlinks="1" autoFilter="1" scenarios="0" formatColumns="0" deleteColumns="1" insertColumns="1" pivotTables="1" deleteRows="1" formatCells="1" formatRows="0" sort="1"/>
  <mergeCells count="65">
    <mergeCell ref="E27:E29"/>
    <mergeCell ref="Q56:R56"/>
    <mergeCell ref="S56:T56"/>
    <mergeCell ref="Y56:Z56"/>
    <mergeCell ref="D1:E1"/>
    <mergeCell ref="M55:N55"/>
    <mergeCell ref="AE54:AF54"/>
    <mergeCell ref="AG54:AH54"/>
    <mergeCell ref="Y55:Z55"/>
    <mergeCell ref="K54:L54"/>
    <mergeCell ref="K55:L55"/>
    <mergeCell ref="G1:AL1"/>
    <mergeCell ref="Y54:Z54"/>
    <mergeCell ref="AE56:AF56"/>
    <mergeCell ref="Q54:R54"/>
    <mergeCell ref="Q55:R55"/>
    <mergeCell ref="W55:X55"/>
    <mergeCell ref="B30:AL30"/>
    <mergeCell ref="M56:N56"/>
    <mergeCell ref="AG56:AH56"/>
    <mergeCell ref="I54:J54"/>
    <mergeCell ref="M54:N54"/>
    <mergeCell ref="O54:P54"/>
    <mergeCell ref="W54:X54"/>
    <mergeCell ref="B45:AL45"/>
    <mergeCell ref="AK54:AL54"/>
    <mergeCell ref="I56:J56"/>
    <mergeCell ref="B35:AL35"/>
    <mergeCell ref="AC55:AD55"/>
    <mergeCell ref="AI55:AJ55"/>
    <mergeCell ref="B26:AL26"/>
    <mergeCell ref="AK55:AL55"/>
    <mergeCell ref="K56:L56"/>
    <mergeCell ref="U56:V56"/>
    <mergeCell ref="W56:X56"/>
    <mergeCell ref="B7:AL7"/>
    <mergeCell ref="I55:J55"/>
    <mergeCell ref="AA54:AB54"/>
    <mergeCell ref="O55:P55"/>
    <mergeCell ref="B16:AL16"/>
    <mergeCell ref="AC54:AD54"/>
    <mergeCell ref="AI54:AJ54"/>
    <mergeCell ref="B46:AL46"/>
    <mergeCell ref="B22:AL22"/>
    <mergeCell ref="O56:P56"/>
    <mergeCell ref="E23:E25"/>
    <mergeCell ref="G55:H55"/>
    <mergeCell ref="AA56:AB56"/>
    <mergeCell ref="S55:T55"/>
    <mergeCell ref="AC56:AD56"/>
    <mergeCell ref="AI56:AJ56"/>
    <mergeCell ref="U54:V54"/>
    <mergeCell ref="B21:AL21"/>
    <mergeCell ref="U55:V55"/>
    <mergeCell ref="AA55:AB55"/>
    <mergeCell ref="AK56:AL56"/>
    <mergeCell ref="B39:AL39"/>
    <mergeCell ref="G54:H54"/>
    <mergeCell ref="B42:AL42"/>
    <mergeCell ref="S54:T54"/>
    <mergeCell ref="E31:E33"/>
    <mergeCell ref="AE55:AF55"/>
    <mergeCell ref="G56:H56"/>
    <mergeCell ref="B53:AL53"/>
    <mergeCell ref="AG55:AH55"/>
  </mergeCells>
  <conditionalFormatting sqref="G3:AK3">
    <cfRule type="colorScale" priority="1">
      <colorScale>
        <cfvo type="num" val="40"/>
        <cfvo type="num" val="65"/>
        <cfvo type="num" val="90"/>
        <color rgb="00F5E3E3"/>
        <color rgb="00FBF3DD"/>
        <color rgb="00DDEBE0"/>
      </colorScale>
    </cfRule>
  </conditionalFormatting>
  <conditionalFormatting sqref="G8:AK8">
    <cfRule type="colorScale" priority="2">
      <colorScale>
        <cfvo type="num" val="0"/>
        <cfvo type="num" val="1"/>
        <color rgb="00FFFFFF"/>
        <color rgb="003F7A50"/>
      </colorScale>
    </cfRule>
  </conditionalFormatting>
  <conditionalFormatting sqref="G9:AK9">
    <cfRule type="colorScale" priority="3">
      <colorScale>
        <cfvo type="num" val="0"/>
        <cfvo type="num" val="1"/>
        <color rgb="00FFFFFF"/>
        <color rgb="003F7A50"/>
      </colorScale>
    </cfRule>
  </conditionalFormatting>
  <conditionalFormatting sqref="G10:AK10">
    <cfRule type="colorScale" priority="4">
      <colorScale>
        <cfvo type="num" val="0"/>
        <cfvo type="num" val="1"/>
        <color rgb="00FFFFFF"/>
        <color rgb="003F7A50"/>
      </colorScale>
    </cfRule>
  </conditionalFormatting>
  <conditionalFormatting sqref="G11:AK11">
    <cfRule type="colorScale" priority="5">
      <colorScale>
        <cfvo type="num" val="0"/>
        <cfvo type="num" val="1"/>
        <color rgb="00FFFFFF"/>
        <color rgb="003F7A50"/>
      </colorScale>
    </cfRule>
  </conditionalFormatting>
  <conditionalFormatting sqref="G12:AK12">
    <cfRule type="colorScale" priority="6">
      <colorScale>
        <cfvo type="num" val="0"/>
        <cfvo type="num" val="1"/>
        <color rgb="00FFFFFF"/>
        <color rgb="003F7A50"/>
      </colorScale>
    </cfRule>
  </conditionalFormatting>
  <conditionalFormatting sqref="G13:AK13">
    <cfRule type="colorScale" priority="7">
      <colorScale>
        <cfvo type="num" val="0"/>
        <cfvo type="num" val="1"/>
        <color rgb="00FFFFFF"/>
        <color rgb="003F7A50"/>
      </colorScale>
    </cfRule>
  </conditionalFormatting>
  <conditionalFormatting sqref="G14:AK14">
    <cfRule type="colorScale" priority="8">
      <colorScale>
        <cfvo type="num" val="0"/>
        <cfvo type="num" val="1"/>
        <color rgb="00FFFFFF"/>
        <color rgb="003F7A50"/>
      </colorScale>
    </cfRule>
  </conditionalFormatting>
  <conditionalFormatting sqref="G18:AK18">
    <cfRule type="expression" priority="9" dxfId="0">
      <formula>G18="STOP-CHECK"</formula>
    </cfRule>
    <cfRule type="expression" priority="10" dxfId="1">
      <formula>G18="Watch"</formula>
    </cfRule>
  </conditionalFormatting>
  <conditionalFormatting sqref="G19:AK19">
    <cfRule type="expression" priority="11" dxfId="0">
      <formula>G19="STOP-CHECK"</formula>
    </cfRule>
    <cfRule type="expression" priority="12" dxfId="1">
      <formula>G19="Watch"</formula>
    </cfRule>
  </conditionalFormatting>
  <conditionalFormatting sqref="G37:AK37">
    <cfRule type="expression" priority="13" dxfId="0">
      <formula>G37="STOP-CHECK"</formula>
    </cfRule>
    <cfRule type="expression" priority="14" dxfId="1">
      <formula>G37="Watch"</formula>
    </cfRule>
  </conditionalFormatting>
  <conditionalFormatting sqref="G47:AK47">
    <cfRule type="expression" priority="15" dxfId="0">
      <formula>G47="Concern"</formula>
    </cfRule>
    <cfRule type="expression" priority="16" dxfId="2">
      <formula>G47="Strong"</formula>
    </cfRule>
  </conditionalFormatting>
  <conditionalFormatting sqref="G48:AK48">
    <cfRule type="expression" priority="17" dxfId="0">
      <formula>G48="Concern"</formula>
    </cfRule>
    <cfRule type="expression" priority="18" dxfId="2">
      <formula>G48="Strong"</formula>
    </cfRule>
  </conditionalFormatting>
  <conditionalFormatting sqref="G49:AK49">
    <cfRule type="expression" priority="19" dxfId="0">
      <formula>G49="Concern"</formula>
    </cfRule>
    <cfRule type="expression" priority="20" dxfId="2">
      <formula>G49="Strong"</formula>
    </cfRule>
  </conditionalFormatting>
  <conditionalFormatting sqref="G50:AK50">
    <cfRule type="expression" priority="21" dxfId="0">
      <formula>G50="Concern"</formula>
    </cfRule>
    <cfRule type="expression" priority="22" dxfId="2">
      <formula>G50="Strong"</formula>
    </cfRule>
  </conditionalFormatting>
  <conditionalFormatting sqref="G51:AK51">
    <cfRule type="expression" priority="23" dxfId="0">
      <formula>G51="Concern"</formula>
    </cfRule>
    <cfRule type="expression" priority="24" dxfId="2">
      <formula>G51="Strong"</formula>
    </cfRule>
  </conditionalFormatting>
  <conditionalFormatting sqref="G4:AK4">
    <cfRule type="expression" priority="25" dxfId="1">
      <formula>ISNUMBER(SEARCH("Conditional",G4))</formula>
    </cfRule>
  </conditionalFormatting>
  <dataValidations count="21">
    <dataValidation sqref="G17 I17 K17 M17 O17 Q17 S17 U17 W17 Y17 AA17 AC17 AE17 AG17 AI17 AK17" showDropDown="0" showInputMessage="1" showErrorMessage="1" allowBlank="1" errorTitle="Pick from the list" error="Use the dropdown. A typed value would silently score zero." promptTitle="A1 — Home Care Home Base" prompt="Pick one line. Ambiguous? Take the lower one and say why in the notes." type="list" errorStyle="stop">
      <formula1>=HCHB_List</formula1>
    </dataValidation>
    <dataValidation sqref="G23 I23 K23 M23 O23 Q23 S23 U23 W23 Y23 AA23 AC23 AE23 AG23 AI23 AK23"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4 I24 K24 M24 O24 Q24 S24 U24 W24 Y24 AA24 AC24 AE24 AG24 AI24 AK24"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5 I25 K25 M25 O25 Q25 S25 U25 W25 Y25 AA25 AC25 AE25 AG25 AI25 AK25"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7 I27 K27 M27 O27 Q27 S27 U27 W27 Y27 AA27 AC27 AE27 AG27 AI27 AK27"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8 I28 K28 M28 O28 Q28 S28 U28 W28 Y28 AA28 AC28 AE28 AG28 AI28 AK28"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9 I29 K29 M29 O29 Q29 S29 U29 W29 Y29 AA29 AC29 AE29 AG29 AI29 AK29"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31 I31 K31 M31 O31 Q31 S31 U31 W31 Y31 AA31 AC31 AE31 AG31 AI31 AK31"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32 I32 K32 M32 O32 Q32 S32 U32 W32 Y32 AA32 AC32 AE32 AG32 AI32 AK32"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33 I33 K33 M33 O33 Q33 S33 U33 W33 Y33 AA33 AC33 AE33 AG33 AI33 AK33"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36 I36 K36 M36 O36 Q36 S36 U36 W36 Y36 AA36 AC36 AE36 AG36 AI36 AK36" showDropDown="0" showInputMessage="1" showErrorMessage="1" allowBlank="1" errorTitle="Pick from the list" error="Use the dropdown. A typed value would silently score zero." promptTitle="Sophistication, 0–4" prompt="1 shows it · 2 checks it · 3 recommends it · 4 runs it. Score the product, not the write-up." type="list" errorStyle="stop">
      <formula1>=Soph_List</formula1>
    </dataValidation>
    <dataValidation sqref="G40 I40 K40 M40 O40 Q40 S40 U40 W40 Y40 AA40 AC40 AE40 AG40 AI40 AK40" showDropDown="0" showInputMessage="1" showErrorMessage="1" allowBlank="1" errorTitle="Pick from the list" error="Use the dropdown. A typed value would silently score zero." promptTitle="Clinician fit, 0–4" prompt="Read D1 to D3 and give it your own read. No checklist, on purpose." type="list" errorStyle="stop">
      <formula1>=Clin_List</formula1>
    </dataValidation>
    <dataValidation sqref="G43 I43 K43 M43 O43 Q43 S43 U43 W43 Y43 AA43 AC43 AE43 AG43 AI43 AK43" showDropDown="0" showInputMessage="1" showErrorMessage="1" allowBlank="1" errorTitle="Pick from the list" error="Use the dropdown. A typed value would silently score zero." promptTitle="Partnership, 0–4" prompt="Able and willing to build it with us, and open to us holding a stake." type="list" errorStyle="stop">
      <formula1>=Part_List</formula1>
    </dataValidation>
    <dataValidation sqref="G18 I18 K18 M18 O18 Q18 S18 U18 W18 Y18 AA18 AC18 AE18 AG18 AI18 AK18"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G19 I19 K19 M19 O19 Q19 S19 U19 W19 Y19 AA19 AC19 AE19 AG19 AI19 AK19"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G37 I37 K37 M37 O37 Q37 S37 U37 W37 Y37 AA37 AC37 AE37 AG37 AI37 AK37"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G47 I47 K47 M47 O47 Q47 S47 U47 W47 Y47 AA47 AC47 AE47 AG47 AI47 AK47"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G48 I48 K48 M48 O48 Q48 S48 U48 W48 Y48 AA48 AC48 AE48 AG48 AI48 AK48"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G49 I49 K49 M49 O49 Q49 S49 U49 W49 Y49 AA49 AC49 AE49 AG49 AI49 AK49"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G50 I50 K50 M50 O50 Q50 S50 U50 W50 Y50 AA50 AC50 AE50 AG50 AI50 AK50"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G51 I51 K51 M51 O51 Q51 S51 U51 W51 Y51 AA51 AC51 AE51 AG51 AI51 AK51"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tabColor rgb="001B211E"/>
    <outlinePr summaryBelow="1" summaryRight="1"/>
    <pageSetUpPr fitToPage="1"/>
  </sheetPr>
  <dimension ref="B1:AL56"/>
  <sheetViews>
    <sheetView showGridLines="0" tabSelected="1" zoomScale="10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8" customWidth="1" min="3" max="3"/>
    <col width="36" customWidth="1" min="4" max="4"/>
    <col width="6" customWidth="1" min="5" max="5"/>
    <col outlineLevel="1" width="44" customWidth="1" min="6" max="6"/>
    <col width="17" customWidth="1" min="7" max="7"/>
    <col hidden="1" outlineLevel="1" width="46" customWidth="1" min="8" max="8"/>
    <col width="17" customWidth="1" min="9" max="9"/>
    <col hidden="1" outlineLevel="1" width="46" customWidth="1" min="10" max="10"/>
    <col width="17" customWidth="1" min="11" max="11"/>
    <col hidden="1" outlineLevel="1" width="46" customWidth="1" min="12" max="12"/>
    <col width="17" customWidth="1" min="13" max="13"/>
    <col hidden="1" outlineLevel="1" width="46" customWidth="1" min="14" max="14"/>
    <col width="17" customWidth="1" min="15" max="15"/>
    <col hidden="1" outlineLevel="1" width="46" customWidth="1" min="16" max="16"/>
    <col width="17" customWidth="1" min="17" max="17"/>
    <col hidden="1" outlineLevel="1" width="46" customWidth="1" min="18" max="18"/>
    <col width="17" customWidth="1" min="19" max="19"/>
    <col hidden="1" outlineLevel="1" width="46" customWidth="1" min="20" max="20"/>
    <col width="17" customWidth="1" min="21" max="21"/>
    <col hidden="1" outlineLevel="1" width="46" customWidth="1" min="22" max="22"/>
    <col width="17" customWidth="1" min="23" max="23"/>
    <col hidden="1" outlineLevel="1" width="46" customWidth="1" min="24" max="24"/>
    <col width="17" customWidth="1" min="25" max="25"/>
    <col hidden="1" outlineLevel="1" width="46" customWidth="1" min="26" max="26"/>
    <col width="17" customWidth="1" min="27" max="27"/>
    <col hidden="1" outlineLevel="1" width="46" customWidth="1" min="28" max="28"/>
    <col width="17" customWidth="1" min="29" max="29"/>
    <col hidden="1" outlineLevel="1" width="46" customWidth="1" min="30" max="30"/>
    <col width="17" customWidth="1" min="31" max="31"/>
    <col hidden="1" outlineLevel="1" width="46" customWidth="1" min="32" max="32"/>
    <col width="17" customWidth="1" min="33" max="33"/>
    <col hidden="1" outlineLevel="1" width="46" customWidth="1" min="34" max="34"/>
    <col width="17" customWidth="1" min="35" max="35"/>
    <col hidden="1" outlineLevel="1" width="46" customWidth="1" min="36" max="36"/>
    <col width="17" customWidth="1" min="37" max="37"/>
    <col hidden="1" outlineLevel="1" width="46" customWidth="1" min="38" max="38"/>
  </cols>
  <sheetData>
    <row r="1" ht="22" customHeight="1">
      <c r="C1" s="1" t="inlineStr">
        <is>
          <t>Vendor Scorecard</t>
        </is>
      </c>
      <c r="D1" s="2" t="inlineStr">
        <is>
          <t>COMPASSUS  ·  CAPACITY &amp; SCHEDULING</t>
        </is>
      </c>
      <c r="G1" s="3" t="inlineStr">
        <is>
          <t>Rows are the questionnaire, in order. Each vendor has a mark column and a notes column. Grey cells are formulas.</t>
        </is>
      </c>
    </row>
    <row r="2" ht="20" customHeight="1">
      <c r="B2" s="4" t="inlineStr">
        <is>
          <t>Q</t>
        </is>
      </c>
      <c r="C2" s="5" t="inlineStr">
        <is>
          <t>CRITERION</t>
        </is>
      </c>
      <c r="D2" s="5" t="inlineStr">
        <is>
          <t>WHAT IT COVERS</t>
        </is>
      </c>
      <c r="E2" s="4" t="inlineStr">
        <is>
          <t>WT</t>
        </is>
      </c>
      <c r="F2" s="5" t="inlineStr">
        <is>
          <t>KEY  ·  how to mark this row</t>
        </is>
      </c>
      <c r="G2" s="6" t="inlineStr">
        <is>
          <t>Vendor 01</t>
        </is>
      </c>
      <c r="H2" s="7" t="inlineStr">
        <is>
          <t>NOTES  ·  JUSTIFICATION  ·  CLAIM vs EVIDENCE</t>
        </is>
      </c>
      <c r="I2" s="6" t="inlineStr">
        <is>
          <t>Vendor 02</t>
        </is>
      </c>
      <c r="J2" s="7" t="inlineStr">
        <is>
          <t>NOTES  ·  JUSTIFICATION  ·  CLAIM vs EVIDENCE</t>
        </is>
      </c>
      <c r="K2" s="6" t="inlineStr">
        <is>
          <t>Vendor 03</t>
        </is>
      </c>
      <c r="L2" s="7" t="inlineStr">
        <is>
          <t>NOTES  ·  JUSTIFICATION  ·  CLAIM vs EVIDENCE</t>
        </is>
      </c>
      <c r="M2" s="6" t="inlineStr">
        <is>
          <t>Vendor 04</t>
        </is>
      </c>
      <c r="N2" s="7" t="inlineStr">
        <is>
          <t>NOTES  ·  JUSTIFICATION  ·  CLAIM vs EVIDENCE</t>
        </is>
      </c>
      <c r="O2" s="6" t="inlineStr">
        <is>
          <t>Vendor 05</t>
        </is>
      </c>
      <c r="P2" s="7" t="inlineStr">
        <is>
          <t>NOTES  ·  JUSTIFICATION  ·  CLAIM vs EVIDENCE</t>
        </is>
      </c>
      <c r="Q2" s="6" t="inlineStr">
        <is>
          <t>Vendor 06</t>
        </is>
      </c>
      <c r="R2" s="7" t="inlineStr">
        <is>
          <t>NOTES  ·  JUSTIFICATION  ·  CLAIM vs EVIDENCE</t>
        </is>
      </c>
      <c r="S2" s="6" t="inlineStr">
        <is>
          <t>Vendor 07</t>
        </is>
      </c>
      <c r="T2" s="7" t="inlineStr">
        <is>
          <t>NOTES  ·  JUSTIFICATION  ·  CLAIM vs EVIDENCE</t>
        </is>
      </c>
      <c r="U2" s="6" t="inlineStr">
        <is>
          <t>Vendor 08</t>
        </is>
      </c>
      <c r="V2" s="7" t="inlineStr">
        <is>
          <t>NOTES  ·  JUSTIFICATION  ·  CLAIM vs EVIDENCE</t>
        </is>
      </c>
      <c r="W2" s="6" t="inlineStr">
        <is>
          <t>Vendor 09</t>
        </is>
      </c>
      <c r="X2" s="7" t="inlineStr">
        <is>
          <t>NOTES  ·  JUSTIFICATION  ·  CLAIM vs EVIDENCE</t>
        </is>
      </c>
      <c r="Y2" s="6" t="inlineStr">
        <is>
          <t>Vendor 10</t>
        </is>
      </c>
      <c r="Z2" s="7" t="inlineStr">
        <is>
          <t>NOTES  ·  JUSTIFICATION  ·  CLAIM vs EVIDENCE</t>
        </is>
      </c>
      <c r="AA2" s="6" t="inlineStr">
        <is>
          <t>Vendor 11</t>
        </is>
      </c>
      <c r="AB2" s="7" t="inlineStr">
        <is>
          <t>NOTES  ·  JUSTIFICATION  ·  CLAIM vs EVIDENCE</t>
        </is>
      </c>
      <c r="AC2" s="6" t="inlineStr">
        <is>
          <t>Vendor 12</t>
        </is>
      </c>
      <c r="AD2" s="7" t="inlineStr">
        <is>
          <t>NOTES  ·  JUSTIFICATION  ·  CLAIM vs EVIDENCE</t>
        </is>
      </c>
      <c r="AE2" s="6" t="inlineStr">
        <is>
          <t>Vendor 13</t>
        </is>
      </c>
      <c r="AF2" s="7" t="inlineStr">
        <is>
          <t>NOTES  ·  JUSTIFICATION  ·  CLAIM vs EVIDENCE</t>
        </is>
      </c>
      <c r="AG2" s="6" t="inlineStr">
        <is>
          <t>Vendor 14</t>
        </is>
      </c>
      <c r="AH2" s="7" t="inlineStr">
        <is>
          <t>NOTES  ·  JUSTIFICATION  ·  CLAIM vs EVIDENCE</t>
        </is>
      </c>
      <c r="AI2" s="6" t="inlineStr">
        <is>
          <t>Vendor 15</t>
        </is>
      </c>
      <c r="AJ2" s="7" t="inlineStr">
        <is>
          <t>NOTES  ·  JUSTIFICATION  ·  CLAIM vs EVIDENCE</t>
        </is>
      </c>
      <c r="AK2" s="6" t="inlineStr">
        <is>
          <t>Vendor 16</t>
        </is>
      </c>
      <c r="AL2" s="7" t="inlineStr">
        <is>
          <t>NOTES  ·  JUSTIFICATION  ·  CLAIM vs EVIDENCE</t>
        </is>
      </c>
    </row>
    <row r="3" ht="22" customHeight="1">
      <c r="C3" s="8" t="inlineStr">
        <is>
          <t>TOTAL</t>
        </is>
      </c>
      <c r="D3" s="9" t="inlineStr">
        <is>
          <t>weighted, of 100</t>
        </is>
      </c>
      <c r="F3" s="10" t="inlineStr">
        <is>
          <t>each section grade × its weight, added up</t>
        </is>
      </c>
      <c r="G3" s="11">
        <f>IF(G17="","",G8*'Start Here'!$C$10+G9*'Start Here'!$C$11+G10*'Start Here'!$C$12+G11*'Start Here'!$C$13+G12*'Start Here'!$C$14+G13*'Start Here'!$C$15+G14*'Start Here'!$C$16)</f>
        <v/>
      </c>
      <c r="H3" s="12" t="n"/>
      <c r="I3" s="11">
        <f>IF(I17="","",I8*'Start Here'!$C$10+I9*'Start Here'!$C$11+I10*'Start Here'!$C$12+I11*'Start Here'!$C$13+I12*'Start Here'!$C$14+I13*'Start Here'!$C$15+I14*'Start Here'!$C$16)</f>
        <v/>
      </c>
      <c r="J3" s="12" t="n"/>
      <c r="K3" s="11">
        <f>IF(K17="","",K8*'Start Here'!$C$10+K9*'Start Here'!$C$11+K10*'Start Here'!$C$12+K11*'Start Here'!$C$13+K12*'Start Here'!$C$14+K13*'Start Here'!$C$15+K14*'Start Here'!$C$16)</f>
        <v/>
      </c>
      <c r="L3" s="12" t="n"/>
      <c r="M3" s="11">
        <f>IF(M17="","",M8*'Start Here'!$C$10+M9*'Start Here'!$C$11+M10*'Start Here'!$C$12+M11*'Start Here'!$C$13+M12*'Start Here'!$C$14+M13*'Start Here'!$C$15+M14*'Start Here'!$C$16)</f>
        <v/>
      </c>
      <c r="N3" s="12" t="n"/>
      <c r="O3" s="11">
        <f>IF(O17="","",O8*'Start Here'!$C$10+O9*'Start Here'!$C$11+O10*'Start Here'!$C$12+O11*'Start Here'!$C$13+O12*'Start Here'!$C$14+O13*'Start Here'!$C$15+O14*'Start Here'!$C$16)</f>
        <v/>
      </c>
      <c r="P3" s="12" t="n"/>
      <c r="Q3" s="11">
        <f>IF(Q17="","",Q8*'Start Here'!$C$10+Q9*'Start Here'!$C$11+Q10*'Start Here'!$C$12+Q11*'Start Here'!$C$13+Q12*'Start Here'!$C$14+Q13*'Start Here'!$C$15+Q14*'Start Here'!$C$16)</f>
        <v/>
      </c>
      <c r="R3" s="12" t="n"/>
      <c r="S3" s="11">
        <f>IF(S17="","",S8*'Start Here'!$C$10+S9*'Start Here'!$C$11+S10*'Start Here'!$C$12+S11*'Start Here'!$C$13+S12*'Start Here'!$C$14+S13*'Start Here'!$C$15+S14*'Start Here'!$C$16)</f>
        <v/>
      </c>
      <c r="T3" s="12" t="n"/>
      <c r="U3" s="11">
        <f>IF(U17="","",U8*'Start Here'!$C$10+U9*'Start Here'!$C$11+U10*'Start Here'!$C$12+U11*'Start Here'!$C$13+U12*'Start Here'!$C$14+U13*'Start Here'!$C$15+U14*'Start Here'!$C$16)</f>
        <v/>
      </c>
      <c r="V3" s="12" t="n"/>
      <c r="W3" s="11">
        <f>IF(W17="","",W8*'Start Here'!$C$10+W9*'Start Here'!$C$11+W10*'Start Here'!$C$12+W11*'Start Here'!$C$13+W12*'Start Here'!$C$14+W13*'Start Here'!$C$15+W14*'Start Here'!$C$16)</f>
        <v/>
      </c>
      <c r="X3" s="12" t="n"/>
      <c r="Y3" s="11">
        <f>IF(Y17="","",Y8*'Start Here'!$C$10+Y9*'Start Here'!$C$11+Y10*'Start Here'!$C$12+Y11*'Start Here'!$C$13+Y12*'Start Here'!$C$14+Y13*'Start Here'!$C$15+Y14*'Start Here'!$C$16)</f>
        <v/>
      </c>
      <c r="Z3" s="12" t="n"/>
      <c r="AA3" s="11">
        <f>IF(AA17="","",AA8*'Start Here'!$C$10+AA9*'Start Here'!$C$11+AA10*'Start Here'!$C$12+AA11*'Start Here'!$C$13+AA12*'Start Here'!$C$14+AA13*'Start Here'!$C$15+AA14*'Start Here'!$C$16)</f>
        <v/>
      </c>
      <c r="AB3" s="12" t="n"/>
      <c r="AC3" s="11">
        <f>IF(AC17="","",AC8*'Start Here'!$C$10+AC9*'Start Here'!$C$11+AC10*'Start Here'!$C$12+AC11*'Start Here'!$C$13+AC12*'Start Here'!$C$14+AC13*'Start Here'!$C$15+AC14*'Start Here'!$C$16)</f>
        <v/>
      </c>
      <c r="AD3" s="12" t="n"/>
      <c r="AE3" s="11">
        <f>IF(AE17="","",AE8*'Start Here'!$C$10+AE9*'Start Here'!$C$11+AE10*'Start Here'!$C$12+AE11*'Start Here'!$C$13+AE12*'Start Here'!$C$14+AE13*'Start Here'!$C$15+AE14*'Start Here'!$C$16)</f>
        <v/>
      </c>
      <c r="AF3" s="12" t="n"/>
      <c r="AG3" s="11">
        <f>IF(AG17="","",AG8*'Start Here'!$C$10+AG9*'Start Here'!$C$11+AG10*'Start Here'!$C$12+AG11*'Start Here'!$C$13+AG12*'Start Here'!$C$14+AG13*'Start Here'!$C$15+AG14*'Start Here'!$C$16)</f>
        <v/>
      </c>
      <c r="AH3" s="12" t="n"/>
      <c r="AI3" s="11">
        <f>IF(AI17="","",AI8*'Start Here'!$C$10+AI9*'Start Here'!$C$11+AI10*'Start Here'!$C$12+AI11*'Start Here'!$C$13+AI12*'Start Here'!$C$14+AI13*'Start Here'!$C$15+AI14*'Start Here'!$C$16)</f>
        <v/>
      </c>
      <c r="AJ3" s="12" t="n"/>
      <c r="AK3" s="11">
        <f>IF(AK17="","",AK8*'Start Here'!$C$10+AK9*'Start Here'!$C$11+AK10*'Start Here'!$C$12+AK11*'Start Here'!$C$13+AK12*'Start Here'!$C$14+AK13*'Start Here'!$C$15+AK14*'Start Here'!$C$16)</f>
        <v/>
      </c>
      <c r="AL3" s="12" t="n"/>
    </row>
    <row r="4" ht="16" customHeight="1">
      <c r="C4" s="13" t="inlineStr">
        <is>
          <t>Band</t>
        </is>
      </c>
      <c r="D4" s="9" t="inlineStr">
        <is>
          <t>80 Advance  ·  65 Consider  ·  50 Hold</t>
        </is>
      </c>
      <c r="G4" s="14">
        <f>IF(G17="","",IF(NOT(G8&gt;=0.6),"Conditional — ","")&amp;IF(G3&gt;=80,"Advance",IF(G3&gt;=65,"Consider",IF(G3&gt;=50,"Hold","Decline"))))</f>
        <v/>
      </c>
      <c r="H4" s="12" t="n"/>
      <c r="I4" s="14">
        <f>IF(I17="","",IF(NOT(I8&gt;=0.6),"Conditional — ","")&amp;IF(I3&gt;=80,"Advance",IF(I3&gt;=65,"Consider",IF(I3&gt;=50,"Hold","Decline"))))</f>
        <v/>
      </c>
      <c r="J4" s="12" t="n"/>
      <c r="K4" s="14">
        <f>IF(K17="","",IF(NOT(K8&gt;=0.6),"Conditional — ","")&amp;IF(K3&gt;=80,"Advance",IF(K3&gt;=65,"Consider",IF(K3&gt;=50,"Hold","Decline"))))</f>
        <v/>
      </c>
      <c r="L4" s="12" t="n"/>
      <c r="M4" s="14">
        <f>IF(M17="","",IF(NOT(M8&gt;=0.6),"Conditional — ","")&amp;IF(M3&gt;=80,"Advance",IF(M3&gt;=65,"Consider",IF(M3&gt;=50,"Hold","Decline"))))</f>
        <v/>
      </c>
      <c r="N4" s="12" t="n"/>
      <c r="O4" s="14">
        <f>IF(O17="","",IF(NOT(O8&gt;=0.6),"Conditional — ","")&amp;IF(O3&gt;=80,"Advance",IF(O3&gt;=65,"Consider",IF(O3&gt;=50,"Hold","Decline"))))</f>
        <v/>
      </c>
      <c r="P4" s="12" t="n"/>
      <c r="Q4" s="14">
        <f>IF(Q17="","",IF(NOT(Q8&gt;=0.6),"Conditional — ","")&amp;IF(Q3&gt;=80,"Advance",IF(Q3&gt;=65,"Consider",IF(Q3&gt;=50,"Hold","Decline"))))</f>
        <v/>
      </c>
      <c r="R4" s="12" t="n"/>
      <c r="S4" s="14">
        <f>IF(S17="","",IF(NOT(S8&gt;=0.6),"Conditional — ","")&amp;IF(S3&gt;=80,"Advance",IF(S3&gt;=65,"Consider",IF(S3&gt;=50,"Hold","Decline"))))</f>
        <v/>
      </c>
      <c r="T4" s="12" t="n"/>
      <c r="U4" s="14">
        <f>IF(U17="","",IF(NOT(U8&gt;=0.6),"Conditional — ","")&amp;IF(U3&gt;=80,"Advance",IF(U3&gt;=65,"Consider",IF(U3&gt;=50,"Hold","Decline"))))</f>
        <v/>
      </c>
      <c r="V4" s="12" t="n"/>
      <c r="W4" s="14">
        <f>IF(W17="","",IF(NOT(W8&gt;=0.6),"Conditional — ","")&amp;IF(W3&gt;=80,"Advance",IF(W3&gt;=65,"Consider",IF(W3&gt;=50,"Hold","Decline"))))</f>
        <v/>
      </c>
      <c r="X4" s="12" t="n"/>
      <c r="Y4" s="14">
        <f>IF(Y17="","",IF(NOT(Y8&gt;=0.6),"Conditional — ","")&amp;IF(Y3&gt;=80,"Advance",IF(Y3&gt;=65,"Consider",IF(Y3&gt;=50,"Hold","Decline"))))</f>
        <v/>
      </c>
      <c r="Z4" s="12" t="n"/>
      <c r="AA4" s="14">
        <f>IF(AA17="","",IF(NOT(AA8&gt;=0.6),"Conditional — ","")&amp;IF(AA3&gt;=80,"Advance",IF(AA3&gt;=65,"Consider",IF(AA3&gt;=50,"Hold","Decline"))))</f>
        <v/>
      </c>
      <c r="AB4" s="12" t="n"/>
      <c r="AC4" s="14">
        <f>IF(AC17="","",IF(NOT(AC8&gt;=0.6),"Conditional — ","")&amp;IF(AC3&gt;=80,"Advance",IF(AC3&gt;=65,"Consider",IF(AC3&gt;=50,"Hold","Decline"))))</f>
        <v/>
      </c>
      <c r="AD4" s="12" t="n"/>
      <c r="AE4" s="14">
        <f>IF(AE17="","",IF(NOT(AE8&gt;=0.6),"Conditional — ","")&amp;IF(AE3&gt;=80,"Advance",IF(AE3&gt;=65,"Consider",IF(AE3&gt;=50,"Hold","Decline"))))</f>
        <v/>
      </c>
      <c r="AF4" s="12" t="n"/>
      <c r="AG4" s="14">
        <f>IF(AG17="","",IF(NOT(AG8&gt;=0.6),"Conditional — ","")&amp;IF(AG3&gt;=80,"Advance",IF(AG3&gt;=65,"Consider",IF(AG3&gt;=50,"Hold","Decline"))))</f>
        <v/>
      </c>
      <c r="AH4" s="12" t="n"/>
      <c r="AI4" s="14">
        <f>IF(AI17="","",IF(NOT(AI8&gt;=0.6),"Conditional — ","")&amp;IF(AI3&gt;=80,"Advance",IF(AI3&gt;=65,"Consider",IF(AI3&gt;=50,"Hold","Decline"))))</f>
        <v/>
      </c>
      <c r="AJ4" s="12" t="n"/>
      <c r="AK4" s="14">
        <f>IF(AK17="","",IF(NOT(AK8&gt;=0.6),"Conditional — ","")&amp;IF(AK3&gt;=80,"Advance",IF(AK3&gt;=65,"Consider",IF(AK3&gt;=50,"Hold","Decline"))))</f>
        <v/>
      </c>
      <c r="AL4" s="12" t="n"/>
    </row>
    <row r="5" ht="16" customHeight="1">
      <c r="C5" s="15" t="inlineStr">
        <is>
          <t>Stop-checks</t>
        </is>
      </c>
      <c r="D5" s="9" t="inlineStr">
        <is>
          <t>of three</t>
        </is>
      </c>
      <c r="F5" s="10" t="inlineStr">
        <is>
          <t>A2, A3, C6 marked STOP-CHECK</t>
        </is>
      </c>
      <c r="G5" s="16">
        <f>IF(G17="","",IF(G18="STOP-CHECK",1,0)+IF(G19="STOP-CHECK",1,0)+IF(G37="STOP-CHECK",1,0))</f>
        <v/>
      </c>
      <c r="H5" s="12" t="n"/>
      <c r="I5" s="16">
        <f>IF(I17="","",IF(I18="STOP-CHECK",1,0)+IF(I19="STOP-CHECK",1,0)+IF(I37="STOP-CHECK",1,0))</f>
        <v/>
      </c>
      <c r="J5" s="12" t="n"/>
      <c r="K5" s="16">
        <f>IF(K17="","",IF(K18="STOP-CHECK",1,0)+IF(K19="STOP-CHECK",1,0)+IF(K37="STOP-CHECK",1,0))</f>
        <v/>
      </c>
      <c r="L5" s="12" t="n"/>
      <c r="M5" s="16">
        <f>IF(M17="","",IF(M18="STOP-CHECK",1,0)+IF(M19="STOP-CHECK",1,0)+IF(M37="STOP-CHECK",1,0))</f>
        <v/>
      </c>
      <c r="N5" s="12" t="n"/>
      <c r="O5" s="16">
        <f>IF(O17="","",IF(O18="STOP-CHECK",1,0)+IF(O19="STOP-CHECK",1,0)+IF(O37="STOP-CHECK",1,0))</f>
        <v/>
      </c>
      <c r="P5" s="12" t="n"/>
      <c r="Q5" s="16">
        <f>IF(Q17="","",IF(Q18="STOP-CHECK",1,0)+IF(Q19="STOP-CHECK",1,0)+IF(Q37="STOP-CHECK",1,0))</f>
        <v/>
      </c>
      <c r="R5" s="12" t="n"/>
      <c r="S5" s="16">
        <f>IF(S17="","",IF(S18="STOP-CHECK",1,0)+IF(S19="STOP-CHECK",1,0)+IF(S37="STOP-CHECK",1,0))</f>
        <v/>
      </c>
      <c r="T5" s="12" t="n"/>
      <c r="U5" s="16">
        <f>IF(U17="","",IF(U18="STOP-CHECK",1,0)+IF(U19="STOP-CHECK",1,0)+IF(U37="STOP-CHECK",1,0))</f>
        <v/>
      </c>
      <c r="V5" s="12" t="n"/>
      <c r="W5" s="16">
        <f>IF(W17="","",IF(W18="STOP-CHECK",1,0)+IF(W19="STOP-CHECK",1,0)+IF(W37="STOP-CHECK",1,0))</f>
        <v/>
      </c>
      <c r="X5" s="12" t="n"/>
      <c r="Y5" s="16">
        <f>IF(Y17="","",IF(Y18="STOP-CHECK",1,0)+IF(Y19="STOP-CHECK",1,0)+IF(Y37="STOP-CHECK",1,0))</f>
        <v/>
      </c>
      <c r="Z5" s="12" t="n"/>
      <c r="AA5" s="16">
        <f>IF(AA17="","",IF(AA18="STOP-CHECK",1,0)+IF(AA19="STOP-CHECK",1,0)+IF(AA37="STOP-CHECK",1,0))</f>
        <v/>
      </c>
      <c r="AB5" s="12" t="n"/>
      <c r="AC5" s="16">
        <f>IF(AC17="","",IF(AC18="STOP-CHECK",1,0)+IF(AC19="STOP-CHECK",1,0)+IF(AC37="STOP-CHECK",1,0))</f>
        <v/>
      </c>
      <c r="AD5" s="12" t="n"/>
      <c r="AE5" s="16">
        <f>IF(AE17="","",IF(AE18="STOP-CHECK",1,0)+IF(AE19="STOP-CHECK",1,0)+IF(AE37="STOP-CHECK",1,0))</f>
        <v/>
      </c>
      <c r="AF5" s="12" t="n"/>
      <c r="AG5" s="16">
        <f>IF(AG17="","",IF(AG18="STOP-CHECK",1,0)+IF(AG19="STOP-CHECK",1,0)+IF(AG37="STOP-CHECK",1,0))</f>
        <v/>
      </c>
      <c r="AH5" s="12" t="n"/>
      <c r="AI5" s="16">
        <f>IF(AI17="","",IF(AI18="STOP-CHECK",1,0)+IF(AI19="STOP-CHECK",1,0)+IF(AI37="STOP-CHECK",1,0))</f>
        <v/>
      </c>
      <c r="AJ5" s="12" t="n"/>
      <c r="AK5" s="16">
        <f>IF(AK17="","",IF(AK18="STOP-CHECK",1,0)+IF(AK19="STOP-CHECK",1,0)+IF(AK37="STOP-CHECK",1,0))</f>
        <v/>
      </c>
      <c r="AL5" s="12" t="n"/>
    </row>
    <row r="6" ht="8" customHeight="1"/>
    <row r="7" ht="18" customHeight="1">
      <c r="B7" s="17" t="inlineStr">
        <is>
          <t>SECTION GRADES   —   each on its own scale, unweighted</t>
        </is>
      </c>
    </row>
    <row r="8" ht="17" customHeight="1">
      <c r="C8" s="18" t="inlineStr">
        <is>
          <t>Home Care Home Base</t>
        </is>
      </c>
      <c r="F8" s="10" t="inlineStr">
        <is>
          <t>marks earned ÷ marks available</t>
        </is>
      </c>
      <c r="G8" s="19">
        <f>IF(G17="","",(IFERROR(VLOOKUP(G17,Lists!$B$2:$C$7,2,FALSE),0))/20)</f>
        <v/>
      </c>
      <c r="H8" s="12" t="n"/>
      <c r="I8" s="19">
        <f>IF(I17="","",(IFERROR(VLOOKUP(I17,Lists!$B$2:$C$7,2,FALSE),0))/20)</f>
        <v/>
      </c>
      <c r="J8" s="12" t="n"/>
      <c r="K8" s="19">
        <f>IF(K17="","",(IFERROR(VLOOKUP(K17,Lists!$B$2:$C$7,2,FALSE),0))/20)</f>
        <v/>
      </c>
      <c r="L8" s="12" t="n"/>
      <c r="M8" s="19">
        <f>IF(M17="","",(IFERROR(VLOOKUP(M17,Lists!$B$2:$C$7,2,FALSE),0))/20)</f>
        <v/>
      </c>
      <c r="N8" s="12" t="n"/>
      <c r="O8" s="19">
        <f>IF(O17="","",(IFERROR(VLOOKUP(O17,Lists!$B$2:$C$7,2,FALSE),0))/20)</f>
        <v/>
      </c>
      <c r="P8" s="12" t="n"/>
      <c r="Q8" s="19">
        <f>IF(Q17="","",(IFERROR(VLOOKUP(Q17,Lists!$B$2:$C$7,2,FALSE),0))/20)</f>
        <v/>
      </c>
      <c r="R8" s="12" t="n"/>
      <c r="S8" s="19">
        <f>IF(S17="","",(IFERROR(VLOOKUP(S17,Lists!$B$2:$C$7,2,FALSE),0))/20)</f>
        <v/>
      </c>
      <c r="T8" s="12" t="n"/>
      <c r="U8" s="19">
        <f>IF(U17="","",(IFERROR(VLOOKUP(U17,Lists!$B$2:$C$7,2,FALSE),0))/20)</f>
        <v/>
      </c>
      <c r="V8" s="12" t="n"/>
      <c r="W8" s="19">
        <f>IF(W17="","",(IFERROR(VLOOKUP(W17,Lists!$B$2:$C$7,2,FALSE),0))/20)</f>
        <v/>
      </c>
      <c r="X8" s="12" t="n"/>
      <c r="Y8" s="19">
        <f>IF(Y17="","",(IFERROR(VLOOKUP(Y17,Lists!$B$2:$C$7,2,FALSE),0))/20)</f>
        <v/>
      </c>
      <c r="Z8" s="12" t="n"/>
      <c r="AA8" s="19">
        <f>IF(AA17="","",(IFERROR(VLOOKUP(AA17,Lists!$B$2:$C$7,2,FALSE),0))/20)</f>
        <v/>
      </c>
      <c r="AB8" s="12" t="n"/>
      <c r="AC8" s="19">
        <f>IF(AC17="","",(IFERROR(VLOOKUP(AC17,Lists!$B$2:$C$7,2,FALSE),0))/20)</f>
        <v/>
      </c>
      <c r="AD8" s="12" t="n"/>
      <c r="AE8" s="19">
        <f>IF(AE17="","",(IFERROR(VLOOKUP(AE17,Lists!$B$2:$C$7,2,FALSE),0))/20)</f>
        <v/>
      </c>
      <c r="AF8" s="12" t="n"/>
      <c r="AG8" s="19">
        <f>IF(AG17="","",(IFERROR(VLOOKUP(AG17,Lists!$B$2:$C$7,2,FALSE),0))/20)</f>
        <v/>
      </c>
      <c r="AH8" s="12" t="n"/>
      <c r="AI8" s="19">
        <f>IF(AI17="","",(IFERROR(VLOOKUP(AI17,Lists!$B$2:$C$7,2,FALSE),0))/20)</f>
        <v/>
      </c>
      <c r="AJ8" s="12" t="n"/>
      <c r="AK8" s="19">
        <f>IF(AK17="","",(IFERROR(VLOOKUP(AK17,Lists!$B$2:$C$7,2,FALSE),0))/20)</f>
        <v/>
      </c>
      <c r="AL8" s="12" t="n"/>
    </row>
    <row r="9" ht="17" customHeight="1">
      <c r="C9" s="20" t="inlineStr">
        <is>
          <t>Capacity</t>
        </is>
      </c>
      <c r="F9" s="10" t="inlineStr">
        <is>
          <t>marks earned ÷ marks available</t>
        </is>
      </c>
      <c r="G9" s="19">
        <f>IF(G17="","",(IFERROR(VALUE(LEFT(G23,1)),0)+IFERROR(VALUE(LEFT(G24,1)),0)+IFERROR(VALUE(LEFT(G25,1)),0))/12)</f>
        <v/>
      </c>
      <c r="H9" s="12" t="n"/>
      <c r="I9" s="19">
        <f>IF(I17="","",(IFERROR(VALUE(LEFT(I23,1)),0)+IFERROR(VALUE(LEFT(I24,1)),0)+IFERROR(VALUE(LEFT(I25,1)),0))/12)</f>
        <v/>
      </c>
      <c r="J9" s="12" t="n"/>
      <c r="K9" s="19">
        <f>IF(K17="","",(IFERROR(VALUE(LEFT(K23,1)),0)+IFERROR(VALUE(LEFT(K24,1)),0)+IFERROR(VALUE(LEFT(K25,1)),0))/12)</f>
        <v/>
      </c>
      <c r="L9" s="12" t="n"/>
      <c r="M9" s="19">
        <f>IF(M17="","",(IFERROR(VALUE(LEFT(M23,1)),0)+IFERROR(VALUE(LEFT(M24,1)),0)+IFERROR(VALUE(LEFT(M25,1)),0))/12)</f>
        <v/>
      </c>
      <c r="N9" s="12" t="n"/>
      <c r="O9" s="19">
        <f>IF(O17="","",(IFERROR(VALUE(LEFT(O23,1)),0)+IFERROR(VALUE(LEFT(O24,1)),0)+IFERROR(VALUE(LEFT(O25,1)),0))/12)</f>
        <v/>
      </c>
      <c r="P9" s="12" t="n"/>
      <c r="Q9" s="19">
        <f>IF(Q17="","",(IFERROR(VALUE(LEFT(Q23,1)),0)+IFERROR(VALUE(LEFT(Q24,1)),0)+IFERROR(VALUE(LEFT(Q25,1)),0))/12)</f>
        <v/>
      </c>
      <c r="R9" s="12" t="n"/>
      <c r="S9" s="19">
        <f>IF(S17="","",(IFERROR(VALUE(LEFT(S23,1)),0)+IFERROR(VALUE(LEFT(S24,1)),0)+IFERROR(VALUE(LEFT(S25,1)),0))/12)</f>
        <v/>
      </c>
      <c r="T9" s="12" t="n"/>
      <c r="U9" s="19">
        <f>IF(U17="","",(IFERROR(VALUE(LEFT(U23,1)),0)+IFERROR(VALUE(LEFT(U24,1)),0)+IFERROR(VALUE(LEFT(U25,1)),0))/12)</f>
        <v/>
      </c>
      <c r="V9" s="12" t="n"/>
      <c r="W9" s="19">
        <f>IF(W17="","",(IFERROR(VALUE(LEFT(W23,1)),0)+IFERROR(VALUE(LEFT(W24,1)),0)+IFERROR(VALUE(LEFT(W25,1)),0))/12)</f>
        <v/>
      </c>
      <c r="X9" s="12" t="n"/>
      <c r="Y9" s="19">
        <f>IF(Y17="","",(IFERROR(VALUE(LEFT(Y23,1)),0)+IFERROR(VALUE(LEFT(Y24,1)),0)+IFERROR(VALUE(LEFT(Y25,1)),0))/12)</f>
        <v/>
      </c>
      <c r="Z9" s="12" t="n"/>
      <c r="AA9" s="19">
        <f>IF(AA17="","",(IFERROR(VALUE(LEFT(AA23,1)),0)+IFERROR(VALUE(LEFT(AA24,1)),0)+IFERROR(VALUE(LEFT(AA25,1)),0))/12)</f>
        <v/>
      </c>
      <c r="AB9" s="12" t="n"/>
      <c r="AC9" s="19">
        <f>IF(AC17="","",(IFERROR(VALUE(LEFT(AC23,1)),0)+IFERROR(VALUE(LEFT(AC24,1)),0)+IFERROR(VALUE(LEFT(AC25,1)),0))/12)</f>
        <v/>
      </c>
      <c r="AD9" s="12" t="n"/>
      <c r="AE9" s="19">
        <f>IF(AE17="","",(IFERROR(VALUE(LEFT(AE23,1)),0)+IFERROR(VALUE(LEFT(AE24,1)),0)+IFERROR(VALUE(LEFT(AE25,1)),0))/12)</f>
        <v/>
      </c>
      <c r="AF9" s="12" t="n"/>
      <c r="AG9" s="19">
        <f>IF(AG17="","",(IFERROR(VALUE(LEFT(AG23,1)),0)+IFERROR(VALUE(LEFT(AG24,1)),0)+IFERROR(VALUE(LEFT(AG25,1)),0))/12)</f>
        <v/>
      </c>
      <c r="AH9" s="12" t="n"/>
      <c r="AI9" s="19">
        <f>IF(AI17="","",(IFERROR(VALUE(LEFT(AI23,1)),0)+IFERROR(VALUE(LEFT(AI24,1)),0)+IFERROR(VALUE(LEFT(AI25,1)),0))/12)</f>
        <v/>
      </c>
      <c r="AJ9" s="12" t="n"/>
      <c r="AK9" s="19">
        <f>IF(AK17="","",(IFERROR(VALUE(LEFT(AK23,1)),0)+IFERROR(VALUE(LEFT(AK24,1)),0)+IFERROR(VALUE(LEFT(AK25,1)),0))/12)</f>
        <v/>
      </c>
      <c r="AL9" s="12" t="n"/>
    </row>
    <row r="10" ht="17" customHeight="1">
      <c r="C10" s="21" t="inlineStr">
        <is>
          <t>Scheduling</t>
        </is>
      </c>
      <c r="F10" s="10" t="inlineStr">
        <is>
          <t>marks earned ÷ marks available</t>
        </is>
      </c>
      <c r="G10" s="19">
        <f>IF(G17="","",(IFERROR(VALUE(LEFT(G27,1)),0)+IFERROR(VALUE(LEFT(G28,1)),0)+IFERROR(VALUE(LEFT(G29,1)),0))/12)</f>
        <v/>
      </c>
      <c r="H10" s="12" t="n"/>
      <c r="I10" s="19">
        <f>IF(I17="","",(IFERROR(VALUE(LEFT(I27,1)),0)+IFERROR(VALUE(LEFT(I28,1)),0)+IFERROR(VALUE(LEFT(I29,1)),0))/12)</f>
        <v/>
      </c>
      <c r="J10" s="12" t="n"/>
      <c r="K10" s="19">
        <f>IF(K17="","",(IFERROR(VALUE(LEFT(K27,1)),0)+IFERROR(VALUE(LEFT(K28,1)),0)+IFERROR(VALUE(LEFT(K29,1)),0))/12)</f>
        <v/>
      </c>
      <c r="L10" s="12" t="n"/>
      <c r="M10" s="19">
        <f>IF(M17="","",(IFERROR(VALUE(LEFT(M27,1)),0)+IFERROR(VALUE(LEFT(M28,1)),0)+IFERROR(VALUE(LEFT(M29,1)),0))/12)</f>
        <v/>
      </c>
      <c r="N10" s="12" t="n"/>
      <c r="O10" s="19">
        <f>IF(O17="","",(IFERROR(VALUE(LEFT(O27,1)),0)+IFERROR(VALUE(LEFT(O28,1)),0)+IFERROR(VALUE(LEFT(O29,1)),0))/12)</f>
        <v/>
      </c>
      <c r="P10" s="12" t="n"/>
      <c r="Q10" s="19">
        <f>IF(Q17="","",(IFERROR(VALUE(LEFT(Q27,1)),0)+IFERROR(VALUE(LEFT(Q28,1)),0)+IFERROR(VALUE(LEFT(Q29,1)),0))/12)</f>
        <v/>
      </c>
      <c r="R10" s="12" t="n"/>
      <c r="S10" s="19">
        <f>IF(S17="","",(IFERROR(VALUE(LEFT(S27,1)),0)+IFERROR(VALUE(LEFT(S28,1)),0)+IFERROR(VALUE(LEFT(S29,1)),0))/12)</f>
        <v/>
      </c>
      <c r="T10" s="12" t="n"/>
      <c r="U10" s="19">
        <f>IF(U17="","",(IFERROR(VALUE(LEFT(U27,1)),0)+IFERROR(VALUE(LEFT(U28,1)),0)+IFERROR(VALUE(LEFT(U29,1)),0))/12)</f>
        <v/>
      </c>
      <c r="V10" s="12" t="n"/>
      <c r="W10" s="19">
        <f>IF(W17="","",(IFERROR(VALUE(LEFT(W27,1)),0)+IFERROR(VALUE(LEFT(W28,1)),0)+IFERROR(VALUE(LEFT(W29,1)),0))/12)</f>
        <v/>
      </c>
      <c r="X10" s="12" t="n"/>
      <c r="Y10" s="19">
        <f>IF(Y17="","",(IFERROR(VALUE(LEFT(Y27,1)),0)+IFERROR(VALUE(LEFT(Y28,1)),0)+IFERROR(VALUE(LEFT(Y29,1)),0))/12)</f>
        <v/>
      </c>
      <c r="Z10" s="12" t="n"/>
      <c r="AA10" s="19">
        <f>IF(AA17="","",(IFERROR(VALUE(LEFT(AA27,1)),0)+IFERROR(VALUE(LEFT(AA28,1)),0)+IFERROR(VALUE(LEFT(AA29,1)),0))/12)</f>
        <v/>
      </c>
      <c r="AB10" s="12" t="n"/>
      <c r="AC10" s="19">
        <f>IF(AC17="","",(IFERROR(VALUE(LEFT(AC27,1)),0)+IFERROR(VALUE(LEFT(AC28,1)),0)+IFERROR(VALUE(LEFT(AC29,1)),0))/12)</f>
        <v/>
      </c>
      <c r="AD10" s="12" t="n"/>
      <c r="AE10" s="19">
        <f>IF(AE17="","",(IFERROR(VALUE(LEFT(AE27,1)),0)+IFERROR(VALUE(LEFT(AE28,1)),0)+IFERROR(VALUE(LEFT(AE29,1)),0))/12)</f>
        <v/>
      </c>
      <c r="AF10" s="12" t="n"/>
      <c r="AG10" s="19">
        <f>IF(AG17="","",(IFERROR(VALUE(LEFT(AG27,1)),0)+IFERROR(VALUE(LEFT(AG28,1)),0)+IFERROR(VALUE(LEFT(AG29,1)),0))/12)</f>
        <v/>
      </c>
      <c r="AH10" s="12" t="n"/>
      <c r="AI10" s="19">
        <f>IF(AI17="","",(IFERROR(VALUE(LEFT(AI27,1)),0)+IFERROR(VALUE(LEFT(AI28,1)),0)+IFERROR(VALUE(LEFT(AI29,1)),0))/12)</f>
        <v/>
      </c>
      <c r="AJ10" s="12" t="n"/>
      <c r="AK10" s="19">
        <f>IF(AK17="","",(IFERROR(VALUE(LEFT(AK27,1)),0)+IFERROR(VALUE(LEFT(AK28,1)),0)+IFERROR(VALUE(LEFT(AK29,1)),0))/12)</f>
        <v/>
      </c>
      <c r="AL10" s="12" t="n"/>
    </row>
    <row r="11" ht="17" customHeight="1">
      <c r="C11" s="22" t="inlineStr">
        <is>
          <t>Engagement</t>
        </is>
      </c>
      <c r="F11" s="10" t="inlineStr">
        <is>
          <t>marks earned ÷ marks available</t>
        </is>
      </c>
      <c r="G11" s="19">
        <f>IF(G17="","",(IFERROR(VALUE(LEFT(G31,1)),0)+IFERROR(VALUE(LEFT(G32,1)),0)+IFERROR(VALUE(LEFT(G33,1)),0))/12)</f>
        <v/>
      </c>
      <c r="H11" s="12" t="n"/>
      <c r="I11" s="19">
        <f>IF(I17="","",(IFERROR(VALUE(LEFT(I31,1)),0)+IFERROR(VALUE(LEFT(I32,1)),0)+IFERROR(VALUE(LEFT(I33,1)),0))/12)</f>
        <v/>
      </c>
      <c r="J11" s="12" t="n"/>
      <c r="K11" s="19">
        <f>IF(K17="","",(IFERROR(VALUE(LEFT(K31,1)),0)+IFERROR(VALUE(LEFT(K32,1)),0)+IFERROR(VALUE(LEFT(K33,1)),0))/12)</f>
        <v/>
      </c>
      <c r="L11" s="12" t="n"/>
      <c r="M11" s="19">
        <f>IF(M17="","",(IFERROR(VALUE(LEFT(M31,1)),0)+IFERROR(VALUE(LEFT(M32,1)),0)+IFERROR(VALUE(LEFT(M33,1)),0))/12)</f>
        <v/>
      </c>
      <c r="N11" s="12" t="n"/>
      <c r="O11" s="19">
        <f>IF(O17="","",(IFERROR(VALUE(LEFT(O31,1)),0)+IFERROR(VALUE(LEFT(O32,1)),0)+IFERROR(VALUE(LEFT(O33,1)),0))/12)</f>
        <v/>
      </c>
      <c r="P11" s="12" t="n"/>
      <c r="Q11" s="19">
        <f>IF(Q17="","",(IFERROR(VALUE(LEFT(Q31,1)),0)+IFERROR(VALUE(LEFT(Q32,1)),0)+IFERROR(VALUE(LEFT(Q33,1)),0))/12)</f>
        <v/>
      </c>
      <c r="R11" s="12" t="n"/>
      <c r="S11" s="19">
        <f>IF(S17="","",(IFERROR(VALUE(LEFT(S31,1)),0)+IFERROR(VALUE(LEFT(S32,1)),0)+IFERROR(VALUE(LEFT(S33,1)),0))/12)</f>
        <v/>
      </c>
      <c r="T11" s="12" t="n"/>
      <c r="U11" s="19">
        <f>IF(U17="","",(IFERROR(VALUE(LEFT(U31,1)),0)+IFERROR(VALUE(LEFT(U32,1)),0)+IFERROR(VALUE(LEFT(U33,1)),0))/12)</f>
        <v/>
      </c>
      <c r="V11" s="12" t="n"/>
      <c r="W11" s="19">
        <f>IF(W17="","",(IFERROR(VALUE(LEFT(W31,1)),0)+IFERROR(VALUE(LEFT(W32,1)),0)+IFERROR(VALUE(LEFT(W33,1)),0))/12)</f>
        <v/>
      </c>
      <c r="X11" s="12" t="n"/>
      <c r="Y11" s="19">
        <f>IF(Y17="","",(IFERROR(VALUE(LEFT(Y31,1)),0)+IFERROR(VALUE(LEFT(Y32,1)),0)+IFERROR(VALUE(LEFT(Y33,1)),0))/12)</f>
        <v/>
      </c>
      <c r="Z11" s="12" t="n"/>
      <c r="AA11" s="19">
        <f>IF(AA17="","",(IFERROR(VALUE(LEFT(AA31,1)),0)+IFERROR(VALUE(LEFT(AA32,1)),0)+IFERROR(VALUE(LEFT(AA33,1)),0))/12)</f>
        <v/>
      </c>
      <c r="AB11" s="12" t="n"/>
      <c r="AC11" s="19">
        <f>IF(AC17="","",(IFERROR(VALUE(LEFT(AC31,1)),0)+IFERROR(VALUE(LEFT(AC32,1)),0)+IFERROR(VALUE(LEFT(AC33,1)),0))/12)</f>
        <v/>
      </c>
      <c r="AD11" s="12" t="n"/>
      <c r="AE11" s="19">
        <f>IF(AE17="","",(IFERROR(VALUE(LEFT(AE31,1)),0)+IFERROR(VALUE(LEFT(AE32,1)),0)+IFERROR(VALUE(LEFT(AE33,1)),0))/12)</f>
        <v/>
      </c>
      <c r="AF11" s="12" t="n"/>
      <c r="AG11" s="19">
        <f>IF(AG17="","",(IFERROR(VALUE(LEFT(AG31,1)),0)+IFERROR(VALUE(LEFT(AG32,1)),0)+IFERROR(VALUE(LEFT(AG33,1)),0))/12)</f>
        <v/>
      </c>
      <c r="AH11" s="12" t="n"/>
      <c r="AI11" s="19">
        <f>IF(AI17="","",(IFERROR(VALUE(LEFT(AI31,1)),0)+IFERROR(VALUE(LEFT(AI32,1)),0)+IFERROR(VALUE(LEFT(AI33,1)),0))/12)</f>
        <v/>
      </c>
      <c r="AJ11" s="12" t="n"/>
      <c r="AK11" s="19">
        <f>IF(AK17="","",(IFERROR(VALUE(LEFT(AK31,1)),0)+IFERROR(VALUE(LEFT(AK32,1)),0)+IFERROR(VALUE(LEFT(AK33,1)),0))/12)</f>
        <v/>
      </c>
      <c r="AL11" s="12" t="n"/>
    </row>
    <row r="12" ht="17" customHeight="1">
      <c r="C12" s="23" t="inlineStr">
        <is>
          <t>Sophistication</t>
        </is>
      </c>
      <c r="F12" s="10" t="inlineStr">
        <is>
          <t>marks earned ÷ marks available</t>
        </is>
      </c>
      <c r="G12" s="24">
        <f>IF(G17="","",(IFERROR(VALUE(LEFT(G36,1)),0))/4)</f>
        <v/>
      </c>
      <c r="H12" s="12" t="n"/>
      <c r="I12" s="24">
        <f>IF(I17="","",(IFERROR(VALUE(LEFT(I36,1)),0))/4)</f>
        <v/>
      </c>
      <c r="J12" s="12" t="n"/>
      <c r="K12" s="24">
        <f>IF(K17="","",(IFERROR(VALUE(LEFT(K36,1)),0))/4)</f>
        <v/>
      </c>
      <c r="L12" s="12" t="n"/>
      <c r="M12" s="24">
        <f>IF(M17="","",(IFERROR(VALUE(LEFT(M36,1)),0))/4)</f>
        <v/>
      </c>
      <c r="N12" s="12" t="n"/>
      <c r="O12" s="24">
        <f>IF(O17="","",(IFERROR(VALUE(LEFT(O36,1)),0))/4)</f>
        <v/>
      </c>
      <c r="P12" s="12" t="n"/>
      <c r="Q12" s="24">
        <f>IF(Q17="","",(IFERROR(VALUE(LEFT(Q36,1)),0))/4)</f>
        <v/>
      </c>
      <c r="R12" s="12" t="n"/>
      <c r="S12" s="24">
        <f>IF(S17="","",(IFERROR(VALUE(LEFT(S36,1)),0))/4)</f>
        <v/>
      </c>
      <c r="T12" s="12" t="n"/>
      <c r="U12" s="24">
        <f>IF(U17="","",(IFERROR(VALUE(LEFT(U36,1)),0))/4)</f>
        <v/>
      </c>
      <c r="V12" s="12" t="n"/>
      <c r="W12" s="24">
        <f>IF(W17="","",(IFERROR(VALUE(LEFT(W36,1)),0))/4)</f>
        <v/>
      </c>
      <c r="X12" s="12" t="n"/>
      <c r="Y12" s="24">
        <f>IF(Y17="","",(IFERROR(VALUE(LEFT(Y36,1)),0))/4)</f>
        <v/>
      </c>
      <c r="Z12" s="12" t="n"/>
      <c r="AA12" s="24">
        <f>IF(AA17="","",(IFERROR(VALUE(LEFT(AA36,1)),0))/4)</f>
        <v/>
      </c>
      <c r="AB12" s="12" t="n"/>
      <c r="AC12" s="24">
        <f>IF(AC17="","",(IFERROR(VALUE(LEFT(AC36,1)),0))/4)</f>
        <v/>
      </c>
      <c r="AD12" s="12" t="n"/>
      <c r="AE12" s="24">
        <f>IF(AE17="","",(IFERROR(VALUE(LEFT(AE36,1)),0))/4)</f>
        <v/>
      </c>
      <c r="AF12" s="12" t="n"/>
      <c r="AG12" s="24">
        <f>IF(AG17="","",(IFERROR(VALUE(LEFT(AG36,1)),0))/4)</f>
        <v/>
      </c>
      <c r="AH12" s="12" t="n"/>
      <c r="AI12" s="24">
        <f>IF(AI17="","",(IFERROR(VALUE(LEFT(AI36,1)),0))/4)</f>
        <v/>
      </c>
      <c r="AJ12" s="12" t="n"/>
      <c r="AK12" s="24">
        <f>IF(AK17="","",(IFERROR(VALUE(LEFT(AK36,1)),0))/4)</f>
        <v/>
      </c>
      <c r="AL12" s="12" t="n"/>
    </row>
    <row r="13" ht="17" customHeight="1">
      <c r="C13" s="25" t="inlineStr">
        <is>
          <t>Clinician fit</t>
        </is>
      </c>
      <c r="F13" s="10" t="inlineStr">
        <is>
          <t>marks earned ÷ marks available</t>
        </is>
      </c>
      <c r="G13" s="24">
        <f>IF(G17="","",(IFERROR(VALUE(LEFT(G40,1)),0))/4)</f>
        <v/>
      </c>
      <c r="H13" s="12" t="n"/>
      <c r="I13" s="24">
        <f>IF(I17="","",(IFERROR(VALUE(LEFT(I40,1)),0))/4)</f>
        <v/>
      </c>
      <c r="J13" s="12" t="n"/>
      <c r="K13" s="24">
        <f>IF(K17="","",(IFERROR(VALUE(LEFT(K40,1)),0))/4)</f>
        <v/>
      </c>
      <c r="L13" s="12" t="n"/>
      <c r="M13" s="24">
        <f>IF(M17="","",(IFERROR(VALUE(LEFT(M40,1)),0))/4)</f>
        <v/>
      </c>
      <c r="N13" s="12" t="n"/>
      <c r="O13" s="24">
        <f>IF(O17="","",(IFERROR(VALUE(LEFT(O40,1)),0))/4)</f>
        <v/>
      </c>
      <c r="P13" s="12" t="n"/>
      <c r="Q13" s="24">
        <f>IF(Q17="","",(IFERROR(VALUE(LEFT(Q40,1)),0))/4)</f>
        <v/>
      </c>
      <c r="R13" s="12" t="n"/>
      <c r="S13" s="24">
        <f>IF(S17="","",(IFERROR(VALUE(LEFT(S40,1)),0))/4)</f>
        <v/>
      </c>
      <c r="T13" s="12" t="n"/>
      <c r="U13" s="24">
        <f>IF(U17="","",(IFERROR(VALUE(LEFT(U40,1)),0))/4)</f>
        <v/>
      </c>
      <c r="V13" s="12" t="n"/>
      <c r="W13" s="24">
        <f>IF(W17="","",(IFERROR(VALUE(LEFT(W40,1)),0))/4)</f>
        <v/>
      </c>
      <c r="X13" s="12" t="n"/>
      <c r="Y13" s="24">
        <f>IF(Y17="","",(IFERROR(VALUE(LEFT(Y40,1)),0))/4)</f>
        <v/>
      </c>
      <c r="Z13" s="12" t="n"/>
      <c r="AA13" s="24">
        <f>IF(AA17="","",(IFERROR(VALUE(LEFT(AA40,1)),0))/4)</f>
        <v/>
      </c>
      <c r="AB13" s="12" t="n"/>
      <c r="AC13" s="24">
        <f>IF(AC17="","",(IFERROR(VALUE(LEFT(AC40,1)),0))/4)</f>
        <v/>
      </c>
      <c r="AD13" s="12" t="n"/>
      <c r="AE13" s="24">
        <f>IF(AE17="","",(IFERROR(VALUE(LEFT(AE40,1)),0))/4)</f>
        <v/>
      </c>
      <c r="AF13" s="12" t="n"/>
      <c r="AG13" s="24">
        <f>IF(AG17="","",(IFERROR(VALUE(LEFT(AG40,1)),0))/4)</f>
        <v/>
      </c>
      <c r="AH13" s="12" t="n"/>
      <c r="AI13" s="24">
        <f>IF(AI17="","",(IFERROR(VALUE(LEFT(AI40,1)),0))/4)</f>
        <v/>
      </c>
      <c r="AJ13" s="12" t="n"/>
      <c r="AK13" s="24">
        <f>IF(AK17="","",(IFERROR(VALUE(LEFT(AK40,1)),0))/4)</f>
        <v/>
      </c>
      <c r="AL13" s="12" t="n"/>
    </row>
    <row r="14" ht="17" customHeight="1">
      <c r="C14" s="25" t="inlineStr">
        <is>
          <t>Partnership</t>
        </is>
      </c>
      <c r="F14" s="10" t="inlineStr">
        <is>
          <t>marks earned ÷ marks available</t>
        </is>
      </c>
      <c r="G14" s="24">
        <f>IF(G17="","",(IFERROR(VALUE(LEFT(G43,1)),0))/4)</f>
        <v/>
      </c>
      <c r="H14" s="12" t="n"/>
      <c r="I14" s="24">
        <f>IF(I17="","",(IFERROR(VALUE(LEFT(I43,1)),0))/4)</f>
        <v/>
      </c>
      <c r="J14" s="12" t="n"/>
      <c r="K14" s="24">
        <f>IF(K17="","",(IFERROR(VALUE(LEFT(K43,1)),0))/4)</f>
        <v/>
      </c>
      <c r="L14" s="12" t="n"/>
      <c r="M14" s="24">
        <f>IF(M17="","",(IFERROR(VALUE(LEFT(M43,1)),0))/4)</f>
        <v/>
      </c>
      <c r="N14" s="12" t="n"/>
      <c r="O14" s="24">
        <f>IF(O17="","",(IFERROR(VALUE(LEFT(O43,1)),0))/4)</f>
        <v/>
      </c>
      <c r="P14" s="12" t="n"/>
      <c r="Q14" s="24">
        <f>IF(Q17="","",(IFERROR(VALUE(LEFT(Q43,1)),0))/4)</f>
        <v/>
      </c>
      <c r="R14" s="12" t="n"/>
      <c r="S14" s="24">
        <f>IF(S17="","",(IFERROR(VALUE(LEFT(S43,1)),0))/4)</f>
        <v/>
      </c>
      <c r="T14" s="12" t="n"/>
      <c r="U14" s="24">
        <f>IF(U17="","",(IFERROR(VALUE(LEFT(U43,1)),0))/4)</f>
        <v/>
      </c>
      <c r="V14" s="12" t="n"/>
      <c r="W14" s="24">
        <f>IF(W17="","",(IFERROR(VALUE(LEFT(W43,1)),0))/4)</f>
        <v/>
      </c>
      <c r="X14" s="12" t="n"/>
      <c r="Y14" s="24">
        <f>IF(Y17="","",(IFERROR(VALUE(LEFT(Y43,1)),0))/4)</f>
        <v/>
      </c>
      <c r="Z14" s="12" t="n"/>
      <c r="AA14" s="24">
        <f>IF(AA17="","",(IFERROR(VALUE(LEFT(AA43,1)),0))/4)</f>
        <v/>
      </c>
      <c r="AB14" s="12" t="n"/>
      <c r="AC14" s="24">
        <f>IF(AC17="","",(IFERROR(VALUE(LEFT(AC43,1)),0))/4)</f>
        <v/>
      </c>
      <c r="AD14" s="12" t="n"/>
      <c r="AE14" s="24">
        <f>IF(AE17="","",(IFERROR(VALUE(LEFT(AE43,1)),0))/4)</f>
        <v/>
      </c>
      <c r="AF14" s="12" t="n"/>
      <c r="AG14" s="24">
        <f>IF(AG17="","",(IFERROR(VALUE(LEFT(AG43,1)),0))/4)</f>
        <v/>
      </c>
      <c r="AH14" s="12" t="n"/>
      <c r="AI14" s="24">
        <f>IF(AI17="","",(IFERROR(VALUE(LEFT(AI43,1)),0))/4)</f>
        <v/>
      </c>
      <c r="AJ14" s="12" t="n"/>
      <c r="AK14" s="24">
        <f>IF(AK17="","",(IFERROR(VALUE(LEFT(AK43,1)),0))/4)</f>
        <v/>
      </c>
      <c r="AL14" s="12" t="n"/>
    </row>
    <row r="16" ht="21" customHeight="1">
      <c r="B16" s="26" t="inlineStr">
        <is>
          <t>A  ·  COMPANY AND PRODUCT</t>
        </is>
      </c>
    </row>
    <row r="17" ht="40" customHeight="1">
      <c r="B17" s="27" t="inlineStr">
        <is>
          <t>A1</t>
        </is>
      </c>
      <c r="C17" s="28" t="inlineStr">
        <is>
          <t>Home Care Home Base integration</t>
        </is>
      </c>
      <c r="D17" s="29" t="inlineStr">
        <is>
          <t>Pick the line that matches their answer</t>
        </is>
      </c>
      <c r="E17" s="30">
        <f>'Start Here'!$C$10</f>
        <v/>
      </c>
      <c r="F17" s="31" t="inlineStr">
        <is>
          <t>20  Live, established customer base   ·   16  Live, small customer base   ·   12  Live, through a partner   ·   6  In development, with a date   ·   2  On the roadmap, no date   ·   0  None, and no path to one</t>
        </is>
      </c>
      <c r="G17" s="32" t="n"/>
      <c r="H17" s="33" t="n"/>
      <c r="I17" s="32" t="n"/>
      <c r="J17" s="33" t="n"/>
      <c r="K17" s="32" t="n"/>
      <c r="L17" s="33" t="n"/>
      <c r="M17" s="32" t="n"/>
      <c r="N17" s="33" t="n"/>
      <c r="O17" s="32" t="n"/>
      <c r="P17" s="33" t="n"/>
      <c r="Q17" s="32" t="n"/>
      <c r="R17" s="33" t="n"/>
      <c r="S17" s="32" t="n"/>
      <c r="T17" s="33" t="n"/>
      <c r="U17" s="32" t="n"/>
      <c r="V17" s="33" t="n"/>
      <c r="W17" s="32" t="n"/>
      <c r="X17" s="33" t="n"/>
      <c r="Y17" s="32" t="n"/>
      <c r="Z17" s="33" t="n"/>
      <c r="AA17" s="32" t="n"/>
      <c r="AB17" s="33" t="n"/>
      <c r="AC17" s="32" t="n"/>
      <c r="AD17" s="33" t="n"/>
      <c r="AE17" s="32" t="n"/>
      <c r="AF17" s="33" t="n"/>
      <c r="AG17" s="32" t="n"/>
      <c r="AH17" s="33" t="n"/>
      <c r="AI17" s="32" t="n"/>
      <c r="AJ17" s="33" t="n"/>
      <c r="AK17" s="32" t="n"/>
      <c r="AL17" s="33" t="n"/>
    </row>
    <row r="18" ht="24" customHeight="1">
      <c r="B18" s="34" t="inlineStr">
        <is>
          <t>A2</t>
        </is>
      </c>
      <c r="C18" s="35" t="inlineStr">
        <is>
          <t>Customers, scale and references</t>
        </is>
      </c>
      <c r="D18" s="36" t="inlineStr">
        <is>
          <t>Stop-check if one customer, or no references offered</t>
        </is>
      </c>
      <c r="E18" s="37" t="n"/>
      <c r="F18" s="38" t="inlineStr">
        <is>
          <t>OK   ·   Watch   ·   STOP-CHECK  — resolved before advancing, not traded against points</t>
        </is>
      </c>
      <c r="G18" s="39" t="n"/>
      <c r="H18" s="40" t="n"/>
      <c r="I18" s="39" t="n"/>
      <c r="J18" s="40" t="n"/>
      <c r="K18" s="39" t="n"/>
      <c r="L18" s="40" t="n"/>
      <c r="M18" s="39" t="n"/>
      <c r="N18" s="40" t="n"/>
      <c r="O18" s="39" t="n"/>
      <c r="P18" s="40" t="n"/>
      <c r="Q18" s="39" t="n"/>
      <c r="R18" s="40" t="n"/>
      <c r="S18" s="39" t="n"/>
      <c r="T18" s="40" t="n"/>
      <c r="U18" s="39" t="n"/>
      <c r="V18" s="40" t="n"/>
      <c r="W18" s="39" t="n"/>
      <c r="X18" s="40" t="n"/>
      <c r="Y18" s="39" t="n"/>
      <c r="Z18" s="40" t="n"/>
      <c r="AA18" s="39" t="n"/>
      <c r="AB18" s="40" t="n"/>
      <c r="AC18" s="39" t="n"/>
      <c r="AD18" s="40" t="n"/>
      <c r="AE18" s="39" t="n"/>
      <c r="AF18" s="40" t="n"/>
      <c r="AG18" s="39" t="n"/>
      <c r="AH18" s="40" t="n"/>
      <c r="AI18" s="39" t="n"/>
      <c r="AJ18" s="40" t="n"/>
      <c r="AK18" s="39" t="n"/>
      <c r="AL18" s="40" t="n"/>
    </row>
    <row r="19" ht="24" customHeight="1">
      <c r="B19" s="34" t="inlineStr">
        <is>
          <t>A3</t>
        </is>
      </c>
      <c r="C19" s="35" t="inlineStr">
        <is>
          <t>Measured impact</t>
        </is>
      </c>
      <c r="D19" s="36" t="inlineStr">
        <is>
          <t>Watch if claimed with no baseline or period</t>
        </is>
      </c>
      <c r="E19" s="37" t="n"/>
      <c r="F19" s="38" t="inlineStr">
        <is>
          <t>OK   ·   Watch   ·   STOP-CHECK  — resolved before advancing, not traded against points</t>
        </is>
      </c>
      <c r="G19" s="39" t="n"/>
      <c r="H19" s="40" t="n"/>
      <c r="I19" s="39" t="n"/>
      <c r="J19" s="40" t="n"/>
      <c r="K19" s="39" t="n"/>
      <c r="L19" s="40" t="n"/>
      <c r="M19" s="39" t="n"/>
      <c r="N19" s="40" t="n"/>
      <c r="O19" s="39" t="n"/>
      <c r="P19" s="40" t="n"/>
      <c r="Q19" s="39" t="n"/>
      <c r="R19" s="40" t="n"/>
      <c r="S19" s="39" t="n"/>
      <c r="T19" s="40" t="n"/>
      <c r="U19" s="39" t="n"/>
      <c r="V19" s="40" t="n"/>
      <c r="W19" s="39" t="n"/>
      <c r="X19" s="40" t="n"/>
      <c r="Y19" s="39" t="n"/>
      <c r="Z19" s="40" t="n"/>
      <c r="AA19" s="39" t="n"/>
      <c r="AB19" s="40" t="n"/>
      <c r="AC19" s="39" t="n"/>
      <c r="AD19" s="40" t="n"/>
      <c r="AE19" s="39" t="n"/>
      <c r="AF19" s="40" t="n"/>
      <c r="AG19" s="39" t="n"/>
      <c r="AH19" s="40" t="n"/>
      <c r="AI19" s="39" t="n"/>
      <c r="AJ19" s="40" t="n"/>
      <c r="AK19" s="39" t="n"/>
      <c r="AL19" s="40" t="n"/>
    </row>
    <row r="21" ht="21" customHeight="1">
      <c r="B21" s="26" t="inlineStr">
        <is>
          <t>B  ·  COVERAGE SELF-ASSESSMENT   —   how much of our scope they cover</t>
        </is>
      </c>
    </row>
    <row r="22" ht="17" customHeight="1">
      <c r="B22" s="41" t="inlineStr">
        <is>
          <t>CAPACITY   —   three marks of 0–4</t>
        </is>
      </c>
    </row>
    <row r="23" ht="26" customHeight="1">
      <c r="B23" s="34" t="inlineStr">
        <is>
          <t>Section B</t>
        </is>
      </c>
      <c r="C23" s="35" t="inlineStr">
        <is>
          <t>Workforce supply</t>
        </is>
      </c>
      <c r="D23" s="36" t="inlineStr">
        <is>
          <t>Roster, disciplines, roles, competencies, ramp, float pool</t>
        </is>
      </c>
      <c r="E23" s="42">
        <f>'Start Here'!$C$11</f>
        <v/>
      </c>
      <c r="F23" s="38" t="inlineStr">
        <is>
          <t>4  Most of it   ·   3  More than half   ·   2  About half   ·   1  A corner of it   ·   0  Nothing here</t>
        </is>
      </c>
      <c r="G23" s="39" t="n"/>
      <c r="H23" s="40" t="n"/>
      <c r="I23" s="39" t="n"/>
      <c r="J23" s="40" t="n"/>
      <c r="K23" s="39" t="n"/>
      <c r="L23" s="40" t="n"/>
      <c r="M23" s="39" t="n"/>
      <c r="N23" s="40" t="n"/>
      <c r="O23" s="39" t="n"/>
      <c r="P23" s="40" t="n"/>
      <c r="Q23" s="39" t="n"/>
      <c r="R23" s="40" t="n"/>
      <c r="S23" s="39" t="n"/>
      <c r="T23" s="40" t="n"/>
      <c r="U23" s="39" t="n"/>
      <c r="V23" s="40" t="n"/>
      <c r="W23" s="39" t="n"/>
      <c r="X23" s="40" t="n"/>
      <c r="Y23" s="39" t="n"/>
      <c r="Z23" s="40" t="n"/>
      <c r="AA23" s="39" t="n"/>
      <c r="AB23" s="40" t="n"/>
      <c r="AC23" s="39" t="n"/>
      <c r="AD23" s="40" t="n"/>
      <c r="AE23" s="39" t="n"/>
      <c r="AF23" s="40" t="n"/>
      <c r="AG23" s="39" t="n"/>
      <c r="AH23" s="40" t="n"/>
      <c r="AI23" s="39" t="n"/>
      <c r="AJ23" s="40" t="n"/>
      <c r="AK23" s="39" t="n"/>
      <c r="AL23" s="40" t="n"/>
    </row>
    <row r="24" ht="26" customHeight="1">
      <c r="B24" s="34" t="inlineStr">
        <is>
          <t>Section B</t>
        </is>
      </c>
      <c r="C24" s="35" t="inlineStr">
        <is>
          <t>Availability &amp; reach</t>
        </is>
      </c>
      <c r="D24" s="36" t="inlineStr">
        <is>
          <t>Availability and time off, territory, drive-time reachability</t>
        </is>
      </c>
      <c r="F24" s="38" t="inlineStr">
        <is>
          <t>4  Most of it   ·   3  More than half   ·   2  About half   ·   1  A corner of it   ·   0  Nothing here</t>
        </is>
      </c>
      <c r="G24" s="39" t="n"/>
      <c r="H24" s="40" t="n"/>
      <c r="I24" s="39" t="n"/>
      <c r="J24" s="40" t="n"/>
      <c r="K24" s="39" t="n"/>
      <c r="L24" s="40" t="n"/>
      <c r="M24" s="39" t="n"/>
      <c r="N24" s="40" t="n"/>
      <c r="O24" s="39" t="n"/>
      <c r="P24" s="40" t="n"/>
      <c r="Q24" s="39" t="n"/>
      <c r="R24" s="40" t="n"/>
      <c r="S24" s="39" t="n"/>
      <c r="T24" s="40" t="n"/>
      <c r="U24" s="39" t="n"/>
      <c r="V24" s="40" t="n"/>
      <c r="W24" s="39" t="n"/>
      <c r="X24" s="40" t="n"/>
      <c r="Y24" s="39" t="n"/>
      <c r="Z24" s="40" t="n"/>
      <c r="AA24" s="39" t="n"/>
      <c r="AB24" s="40" t="n"/>
      <c r="AC24" s="39" t="n"/>
      <c r="AD24" s="40" t="n"/>
      <c r="AE24" s="39" t="n"/>
      <c r="AF24" s="40" t="n"/>
      <c r="AG24" s="39" t="n"/>
      <c r="AH24" s="40" t="n"/>
      <c r="AI24" s="39" t="n"/>
      <c r="AJ24" s="40" t="n"/>
      <c r="AK24" s="39" t="n"/>
      <c r="AL24" s="40" t="n"/>
    </row>
    <row r="25" ht="26" customHeight="1">
      <c r="B25" s="34" t="inlineStr">
        <is>
          <t>Section B</t>
        </is>
      </c>
      <c r="C25" s="35" t="inlineStr">
        <is>
          <t>The capacity math</t>
        </is>
      </c>
      <c r="D25" s="36" t="inlineStr">
        <is>
          <t>Visit weighting, targets and ceilings, committed load vs. open room</t>
        </is>
      </c>
      <c r="F25" s="38" t="inlineStr">
        <is>
          <t>4  Most of it   ·   3  More than half   ·   2  About half   ·   1  A corner of it   ·   0  Nothing here</t>
        </is>
      </c>
      <c r="G25" s="39" t="n"/>
      <c r="H25" s="40" t="n"/>
      <c r="I25" s="39" t="n"/>
      <c r="J25" s="40" t="n"/>
      <c r="K25" s="39" t="n"/>
      <c r="L25" s="40" t="n"/>
      <c r="M25" s="39" t="n"/>
      <c r="N25" s="40" t="n"/>
      <c r="O25" s="39" t="n"/>
      <c r="P25" s="40" t="n"/>
      <c r="Q25" s="39" t="n"/>
      <c r="R25" s="40" t="n"/>
      <c r="S25" s="39" t="n"/>
      <c r="T25" s="40" t="n"/>
      <c r="U25" s="39" t="n"/>
      <c r="V25" s="40" t="n"/>
      <c r="W25" s="39" t="n"/>
      <c r="X25" s="40" t="n"/>
      <c r="Y25" s="39" t="n"/>
      <c r="Z25" s="40" t="n"/>
      <c r="AA25" s="39" t="n"/>
      <c r="AB25" s="40" t="n"/>
      <c r="AC25" s="39" t="n"/>
      <c r="AD25" s="40" t="n"/>
      <c r="AE25" s="39" t="n"/>
      <c r="AF25" s="40" t="n"/>
      <c r="AG25" s="39" t="n"/>
      <c r="AH25" s="40" t="n"/>
      <c r="AI25" s="39" t="n"/>
      <c r="AJ25" s="40" t="n"/>
      <c r="AK25" s="39" t="n"/>
      <c r="AL25" s="40" t="n"/>
    </row>
    <row r="26" ht="17" customHeight="1">
      <c r="B26" s="43" t="inlineStr">
        <is>
          <t>SCHEDULING   —   three marks of 0–4</t>
        </is>
      </c>
    </row>
    <row r="27" ht="26" customHeight="1">
      <c r="B27" s="27" t="inlineStr">
        <is>
          <t>Section B</t>
        </is>
      </c>
      <c r="C27" s="28" t="inlineStr">
        <is>
          <t>Demand &amp; matching</t>
        </is>
      </c>
      <c r="D27" s="29" t="inlineStr">
        <is>
          <t>Ordered visits, authorization, readiness — and who fits them</t>
        </is>
      </c>
      <c r="E27" s="44">
        <f>'Start Here'!$C$12</f>
        <v/>
      </c>
      <c r="F27" s="31" t="inlineStr">
        <is>
          <t>4  Most of it   ·   3  More than half   ·   2  About half   ·   1  A corner of it   ·   0  Nothing here</t>
        </is>
      </c>
      <c r="G27" s="32" t="n"/>
      <c r="H27" s="33" t="n"/>
      <c r="I27" s="32" t="n"/>
      <c r="J27" s="33" t="n"/>
      <c r="K27" s="32" t="n"/>
      <c r="L27" s="33" t="n"/>
      <c r="M27" s="32" t="n"/>
      <c r="N27" s="33" t="n"/>
      <c r="O27" s="32" t="n"/>
      <c r="P27" s="33" t="n"/>
      <c r="Q27" s="32" t="n"/>
      <c r="R27" s="33" t="n"/>
      <c r="S27" s="32" t="n"/>
      <c r="T27" s="33" t="n"/>
      <c r="U27" s="32" t="n"/>
      <c r="V27" s="33" t="n"/>
      <c r="W27" s="32" t="n"/>
      <c r="X27" s="33" t="n"/>
      <c r="Y27" s="32" t="n"/>
      <c r="Z27" s="33" t="n"/>
      <c r="AA27" s="32" t="n"/>
      <c r="AB27" s="33" t="n"/>
      <c r="AC27" s="32" t="n"/>
      <c r="AD27" s="33" t="n"/>
      <c r="AE27" s="32" t="n"/>
      <c r="AF27" s="33" t="n"/>
      <c r="AG27" s="32" t="n"/>
      <c r="AH27" s="33" t="n"/>
      <c r="AI27" s="32" t="n"/>
      <c r="AJ27" s="33" t="n"/>
      <c r="AK27" s="32" t="n"/>
      <c r="AL27" s="33" t="n"/>
    </row>
    <row r="28" ht="26" customHeight="1">
      <c r="B28" s="27" t="inlineStr">
        <is>
          <t>Section B</t>
        </is>
      </c>
      <c r="C28" s="28" t="inlineStr">
        <is>
          <t>Routing &amp; the week</t>
        </is>
      </c>
      <c r="D28" s="29" t="inlineStr">
        <is>
          <t>Routing, sequencing, front-loading, week balancing</t>
        </is>
      </c>
      <c r="F28" s="31" t="inlineStr">
        <is>
          <t>4  Most of it   ·   3  More than half   ·   2  About half   ·   1  A corner of it   ·   0  Nothing here</t>
        </is>
      </c>
      <c r="G28" s="32" t="n"/>
      <c r="H28" s="33" t="n"/>
      <c r="I28" s="32" t="n"/>
      <c r="J28" s="33" t="n"/>
      <c r="K28" s="32" t="n"/>
      <c r="L28" s="33" t="n"/>
      <c r="M28" s="32" t="n"/>
      <c r="N28" s="33" t="n"/>
      <c r="O28" s="32" t="n"/>
      <c r="P28" s="33" t="n"/>
      <c r="Q28" s="32" t="n"/>
      <c r="R28" s="33" t="n"/>
      <c r="S28" s="32" t="n"/>
      <c r="T28" s="33" t="n"/>
      <c r="U28" s="32" t="n"/>
      <c r="V28" s="33" t="n"/>
      <c r="W28" s="32" t="n"/>
      <c r="X28" s="33" t="n"/>
      <c r="Y28" s="32" t="n"/>
      <c r="Z28" s="33" t="n"/>
      <c r="AA28" s="32" t="n"/>
      <c r="AB28" s="33" t="n"/>
      <c r="AC28" s="32" t="n"/>
      <c r="AD28" s="33" t="n"/>
      <c r="AE28" s="32" t="n"/>
      <c r="AF28" s="33" t="n"/>
      <c r="AG28" s="32" t="n"/>
      <c r="AH28" s="33" t="n"/>
      <c r="AI28" s="32" t="n"/>
      <c r="AJ28" s="33" t="n"/>
      <c r="AK28" s="32" t="n"/>
      <c r="AL28" s="33" t="n"/>
    </row>
    <row r="29" ht="26" customHeight="1">
      <c r="B29" s="27" t="inlineStr">
        <is>
          <t>Section B</t>
        </is>
      </c>
      <c r="C29" s="28" t="inlineStr">
        <is>
          <t>Exceptions</t>
        </is>
      </c>
      <c r="D29" s="29" t="inlineStr">
        <is>
          <t>Missed visits, call-outs, reassignment, coverage, rebooking</t>
        </is>
      </c>
      <c r="F29" s="31" t="inlineStr">
        <is>
          <t>4  Most of it   ·   3  More than half   ·   2  About half   ·   1  A corner of it   ·   0  Nothing here</t>
        </is>
      </c>
      <c r="G29" s="32" t="n"/>
      <c r="H29" s="33" t="n"/>
      <c r="I29" s="32" t="n"/>
      <c r="J29" s="33" t="n"/>
      <c r="K29" s="32" t="n"/>
      <c r="L29" s="33" t="n"/>
      <c r="M29" s="32" t="n"/>
      <c r="N29" s="33" t="n"/>
      <c r="O29" s="32" t="n"/>
      <c r="P29" s="33" t="n"/>
      <c r="Q29" s="32" t="n"/>
      <c r="R29" s="33" t="n"/>
      <c r="S29" s="32" t="n"/>
      <c r="T29" s="33" t="n"/>
      <c r="U29" s="32" t="n"/>
      <c r="V29" s="33" t="n"/>
      <c r="W29" s="32" t="n"/>
      <c r="X29" s="33" t="n"/>
      <c r="Y29" s="32" t="n"/>
      <c r="Z29" s="33" t="n"/>
      <c r="AA29" s="32" t="n"/>
      <c r="AB29" s="33" t="n"/>
      <c r="AC29" s="32" t="n"/>
      <c r="AD29" s="33" t="n"/>
      <c r="AE29" s="32" t="n"/>
      <c r="AF29" s="33" t="n"/>
      <c r="AG29" s="32" t="n"/>
      <c r="AH29" s="33" t="n"/>
      <c r="AI29" s="32" t="n"/>
      <c r="AJ29" s="33" t="n"/>
      <c r="AK29" s="32" t="n"/>
      <c r="AL29" s="33" t="n"/>
    </row>
    <row r="30" ht="17" customHeight="1">
      <c r="B30" s="45" t="inlineStr">
        <is>
          <t>ENGAGEMENT   —   three marks of 0–4</t>
        </is>
      </c>
    </row>
    <row r="31" ht="26" customHeight="1">
      <c r="B31" s="34" t="inlineStr">
        <is>
          <t>Section B</t>
        </is>
      </c>
      <c r="C31" s="35" t="inlineStr">
        <is>
          <t>Before the visit</t>
        </is>
      </c>
      <c r="D31" s="36" t="inlineStr">
        <is>
          <t>Welcome call, availability capture, reminders, confirmation, en-route</t>
        </is>
      </c>
      <c r="E31" s="46">
        <f>'Start Here'!$C$13</f>
        <v/>
      </c>
      <c r="F31" s="38" t="inlineStr">
        <is>
          <t>4  Most of it   ·   3  More than half   ·   2  About half   ·   1  A corner of it   ·   0  Nothing here</t>
        </is>
      </c>
      <c r="G31" s="39" t="n"/>
      <c r="H31" s="40" t="n"/>
      <c r="I31" s="39" t="n"/>
      <c r="J31" s="40" t="n"/>
      <c r="K31" s="39" t="n"/>
      <c r="L31" s="40" t="n"/>
      <c r="M31" s="39" t="n"/>
      <c r="N31" s="40" t="n"/>
      <c r="O31" s="39" t="n"/>
      <c r="P31" s="40" t="n"/>
      <c r="Q31" s="39" t="n"/>
      <c r="R31" s="40" t="n"/>
      <c r="S31" s="39" t="n"/>
      <c r="T31" s="40" t="n"/>
      <c r="U31" s="39" t="n"/>
      <c r="V31" s="40" t="n"/>
      <c r="W31" s="39" t="n"/>
      <c r="X31" s="40" t="n"/>
      <c r="Y31" s="39" t="n"/>
      <c r="Z31" s="40" t="n"/>
      <c r="AA31" s="39" t="n"/>
      <c r="AB31" s="40" t="n"/>
      <c r="AC31" s="39" t="n"/>
      <c r="AD31" s="40" t="n"/>
      <c r="AE31" s="39" t="n"/>
      <c r="AF31" s="40" t="n"/>
      <c r="AG31" s="39" t="n"/>
      <c r="AH31" s="40" t="n"/>
      <c r="AI31" s="39" t="n"/>
      <c r="AJ31" s="40" t="n"/>
      <c r="AK31" s="39" t="n"/>
      <c r="AL31" s="40" t="n"/>
    </row>
    <row r="32" ht="26" customHeight="1">
      <c r="B32" s="34" t="inlineStr">
        <is>
          <t>Section B</t>
        </is>
      </c>
      <c r="C32" s="35" t="inlineStr">
        <is>
          <t>When plans change</t>
        </is>
      </c>
      <c r="D32" s="36" t="inlineStr">
        <is>
          <t>Reschedule, coverage outreach, urgent same-day needs, incentives</t>
        </is>
      </c>
      <c r="F32" s="38" t="inlineStr">
        <is>
          <t>4  Most of it   ·   3  More than half   ·   2  About half   ·   1  A corner of it   ·   0  Nothing here</t>
        </is>
      </c>
      <c r="G32" s="39" t="n"/>
      <c r="H32" s="40" t="n"/>
      <c r="I32" s="39" t="n"/>
      <c r="J32" s="40" t="n"/>
      <c r="K32" s="39" t="n"/>
      <c r="L32" s="40" t="n"/>
      <c r="M32" s="39" t="n"/>
      <c r="N32" s="40" t="n"/>
      <c r="O32" s="39" t="n"/>
      <c r="P32" s="40" t="n"/>
      <c r="Q32" s="39" t="n"/>
      <c r="R32" s="40" t="n"/>
      <c r="S32" s="39" t="n"/>
      <c r="T32" s="40" t="n"/>
      <c r="U32" s="39" t="n"/>
      <c r="V32" s="40" t="n"/>
      <c r="W32" s="39" t="n"/>
      <c r="X32" s="40" t="n"/>
      <c r="Y32" s="39" t="n"/>
      <c r="Z32" s="40" t="n"/>
      <c r="AA32" s="39" t="n"/>
      <c r="AB32" s="40" t="n"/>
      <c r="AC32" s="39" t="n"/>
      <c r="AD32" s="40" t="n"/>
      <c r="AE32" s="39" t="n"/>
      <c r="AF32" s="40" t="n"/>
      <c r="AG32" s="39" t="n"/>
      <c r="AH32" s="40" t="n"/>
      <c r="AI32" s="39" t="n"/>
      <c r="AJ32" s="40" t="n"/>
      <c r="AK32" s="39" t="n"/>
      <c r="AL32" s="40" t="n"/>
    </row>
    <row r="33" ht="26" customHeight="1">
      <c r="B33" s="34" t="inlineStr">
        <is>
          <t>Section B</t>
        </is>
      </c>
      <c r="C33" s="35" t="inlineStr">
        <is>
          <t>Across the care team</t>
        </is>
      </c>
      <c r="D33" s="36" t="inlineStr">
        <is>
          <t>Multi-discipline coordination, clinician and office updates</t>
        </is>
      </c>
      <c r="F33" s="38" t="inlineStr">
        <is>
          <t>4  Most of it   ·   3  More than half   ·   2  About half   ·   1  A corner of it   ·   0  Nothing here</t>
        </is>
      </c>
      <c r="G33" s="39" t="n"/>
      <c r="H33" s="40" t="n"/>
      <c r="I33" s="39" t="n"/>
      <c r="J33" s="40" t="n"/>
      <c r="K33" s="39" t="n"/>
      <c r="L33" s="40" t="n"/>
      <c r="M33" s="39" t="n"/>
      <c r="N33" s="40" t="n"/>
      <c r="O33" s="39" t="n"/>
      <c r="P33" s="40" t="n"/>
      <c r="Q33" s="39" t="n"/>
      <c r="R33" s="40" t="n"/>
      <c r="S33" s="39" t="n"/>
      <c r="T33" s="40" t="n"/>
      <c r="U33" s="39" t="n"/>
      <c r="V33" s="40" t="n"/>
      <c r="W33" s="39" t="n"/>
      <c r="X33" s="40" t="n"/>
      <c r="Y33" s="39" t="n"/>
      <c r="Z33" s="40" t="n"/>
      <c r="AA33" s="39" t="n"/>
      <c r="AB33" s="40" t="n"/>
      <c r="AC33" s="39" t="n"/>
      <c r="AD33" s="40" t="n"/>
      <c r="AE33" s="39" t="n"/>
      <c r="AF33" s="40" t="n"/>
      <c r="AG33" s="39" t="n"/>
      <c r="AH33" s="40" t="n"/>
      <c r="AI33" s="39" t="n"/>
      <c r="AJ33" s="40" t="n"/>
      <c r="AK33" s="39" t="n"/>
      <c r="AL33" s="40" t="n"/>
    </row>
    <row r="35" ht="21" customHeight="1">
      <c r="B35" s="26" t="inlineStr">
        <is>
          <t>C  ·  HOW YOUR PRODUCT WORKS</t>
        </is>
      </c>
    </row>
    <row r="36" ht="30" customHeight="1">
      <c r="B36" s="27" t="inlineStr">
        <is>
          <t>Section C</t>
        </is>
      </c>
      <c r="C36" s="28" t="inlineStr">
        <is>
          <t>Sophistication</t>
        </is>
      </c>
      <c r="D36" s="29" t="inlineStr">
        <is>
          <t>How much of the work the product does</t>
        </is>
      </c>
      <c r="E36" s="47">
        <f>'Start Here'!$C$14</f>
        <v/>
      </c>
      <c r="F36" s="31" t="inlineStr">
        <is>
          <t>4  Runs it   ·   3  Recommends it   ·   2  Checks it   ·   1  Shows it   ·   0  Not addressed</t>
        </is>
      </c>
      <c r="G36" s="32" t="n"/>
      <c r="H36" s="33" t="n"/>
      <c r="I36" s="32" t="n"/>
      <c r="J36" s="33" t="n"/>
      <c r="K36" s="32" t="n"/>
      <c r="L36" s="33" t="n"/>
      <c r="M36" s="32" t="n"/>
      <c r="N36" s="33" t="n"/>
      <c r="O36" s="32" t="n"/>
      <c r="P36" s="33" t="n"/>
      <c r="Q36" s="32" t="n"/>
      <c r="R36" s="33" t="n"/>
      <c r="S36" s="32" t="n"/>
      <c r="T36" s="33" t="n"/>
      <c r="U36" s="32" t="n"/>
      <c r="V36" s="33" t="n"/>
      <c r="W36" s="32" t="n"/>
      <c r="X36" s="33" t="n"/>
      <c r="Y36" s="32" t="n"/>
      <c r="Z36" s="33" t="n"/>
      <c r="AA36" s="32" t="n"/>
      <c r="AB36" s="33" t="n"/>
      <c r="AC36" s="32" t="n"/>
      <c r="AD36" s="33" t="n"/>
      <c r="AE36" s="32" t="n"/>
      <c r="AF36" s="33" t="n"/>
      <c r="AG36" s="32" t="n"/>
      <c r="AH36" s="33" t="n"/>
      <c r="AI36" s="32" t="n"/>
      <c r="AJ36" s="33" t="n"/>
      <c r="AK36" s="32" t="n"/>
      <c r="AL36" s="33" t="n"/>
    </row>
    <row r="37" ht="24" customHeight="1">
      <c r="B37" s="34" t="inlineStr">
        <is>
          <t>C6</t>
        </is>
      </c>
      <c r="C37" s="35" t="inlineStr">
        <is>
          <t>When your product is down</t>
        </is>
      </c>
      <c r="D37" s="36" t="inlineStr">
        <is>
          <t>Stop-check if no uptime figure or contractual commitment</t>
        </is>
      </c>
      <c r="E37" s="37" t="n"/>
      <c r="F37" s="38" t="inlineStr">
        <is>
          <t>OK   ·   Watch   ·   STOP-CHECK  — resolved before advancing, not traded against points</t>
        </is>
      </c>
      <c r="G37" s="39" t="n"/>
      <c r="H37" s="40" t="n"/>
      <c r="I37" s="39" t="n"/>
      <c r="J37" s="40" t="n"/>
      <c r="K37" s="39" t="n"/>
      <c r="L37" s="40" t="n"/>
      <c r="M37" s="39" t="n"/>
      <c r="N37" s="40" t="n"/>
      <c r="O37" s="39" t="n"/>
      <c r="P37" s="40" t="n"/>
      <c r="Q37" s="39" t="n"/>
      <c r="R37" s="40" t="n"/>
      <c r="S37" s="39" t="n"/>
      <c r="T37" s="40" t="n"/>
      <c r="U37" s="39" t="n"/>
      <c r="V37" s="40" t="n"/>
      <c r="W37" s="39" t="n"/>
      <c r="X37" s="40" t="n"/>
      <c r="Y37" s="39" t="n"/>
      <c r="Z37" s="40" t="n"/>
      <c r="AA37" s="39" t="n"/>
      <c r="AB37" s="40" t="n"/>
      <c r="AC37" s="39" t="n"/>
      <c r="AD37" s="40" t="n"/>
      <c r="AE37" s="39" t="n"/>
      <c r="AF37" s="40" t="n"/>
      <c r="AG37" s="39" t="n"/>
      <c r="AH37" s="40" t="n"/>
      <c r="AI37" s="39" t="n"/>
      <c r="AJ37" s="40" t="n"/>
      <c r="AK37" s="39" t="n"/>
      <c r="AL37" s="40" t="n"/>
    </row>
    <row r="39" ht="21" customHeight="1">
      <c r="B39" s="26" t="inlineStr">
        <is>
          <t>D  ·  THE CLINICIAN'S PLACE IN THE MODEL</t>
        </is>
      </c>
    </row>
    <row r="40" ht="26" customHeight="1">
      <c r="B40" s="27" t="inlineStr">
        <is>
          <t>D1–D3</t>
        </is>
      </c>
      <c r="C40" s="28" t="inlineStr">
        <is>
          <t>Clinician fit</t>
        </is>
      </c>
      <c r="D40" s="29" t="inlineStr">
        <is>
          <t>Our own read of fit — no checklist, on purpose</t>
        </is>
      </c>
      <c r="E40" s="48">
        <f>'Start Here'!$C$15</f>
        <v/>
      </c>
      <c r="F40" s="31" t="inlineStr">
        <is>
          <t>4  Strong fit   ·   3  Good fit   ·   2  Workable   ·   1  Poor fit   ·   0  Not answered</t>
        </is>
      </c>
      <c r="G40" s="32" t="n"/>
      <c r="H40" s="33" t="n"/>
      <c r="I40" s="32" t="n"/>
      <c r="J40" s="33" t="n"/>
      <c r="K40" s="32" t="n"/>
      <c r="L40" s="33" t="n"/>
      <c r="M40" s="32" t="n"/>
      <c r="N40" s="33" t="n"/>
      <c r="O40" s="32" t="n"/>
      <c r="P40" s="33" t="n"/>
      <c r="Q40" s="32" t="n"/>
      <c r="R40" s="33" t="n"/>
      <c r="S40" s="32" t="n"/>
      <c r="T40" s="33" t="n"/>
      <c r="U40" s="32" t="n"/>
      <c r="V40" s="33" t="n"/>
      <c r="W40" s="32" t="n"/>
      <c r="X40" s="33" t="n"/>
      <c r="Y40" s="32" t="n"/>
      <c r="Z40" s="33" t="n"/>
      <c r="AA40" s="32" t="n"/>
      <c r="AB40" s="33" t="n"/>
      <c r="AC40" s="32" t="n"/>
      <c r="AD40" s="33" t="n"/>
      <c r="AE40" s="32" t="n"/>
      <c r="AF40" s="33" t="n"/>
      <c r="AG40" s="32" t="n"/>
      <c r="AH40" s="33" t="n"/>
      <c r="AI40" s="32" t="n"/>
      <c r="AJ40" s="33" t="n"/>
      <c r="AK40" s="32" t="n"/>
      <c r="AL40" s="33" t="n"/>
    </row>
    <row r="42" ht="21" customHeight="1">
      <c r="B42" s="26" t="inlineStr">
        <is>
          <t>E  ·  FIT AND PARTNERSHIP</t>
        </is>
      </c>
    </row>
    <row r="43" ht="44" customHeight="1">
      <c r="B43" s="27" t="inlineStr">
        <is>
          <t>E1–E4</t>
        </is>
      </c>
      <c r="C43" s="28" t="inlineStr">
        <is>
          <t>Partnership</t>
        </is>
      </c>
      <c r="D43" s="29" t="inlineStr">
        <is>
          <t>Willing to build it with us, and open to a stake</t>
        </is>
      </c>
      <c r="E43" s="48">
        <f>'Start Here'!$C$16</f>
        <v/>
      </c>
      <c r="F43" s="31" t="inlineStr">
        <is>
          <t>4  Open to equity, and set up to build with us   ·   3  Builds to our needs; ownership unaddressed   ·   2  Takes our input; they own the roadmap   ·   1  Standard customer relationship   ·   0  Not answered</t>
        </is>
      </c>
      <c r="G43" s="32" t="n"/>
      <c r="H43" s="33" t="n"/>
      <c r="I43" s="32" t="n"/>
      <c r="J43" s="33" t="n"/>
      <c r="K43" s="32" t="n"/>
      <c r="L43" s="33" t="n"/>
      <c r="M43" s="32" t="n"/>
      <c r="N43" s="33" t="n"/>
      <c r="O43" s="32" t="n"/>
      <c r="P43" s="33" t="n"/>
      <c r="Q43" s="32" t="n"/>
      <c r="R43" s="33" t="n"/>
      <c r="S43" s="32" t="n"/>
      <c r="T43" s="33" t="n"/>
      <c r="U43" s="32" t="n"/>
      <c r="V43" s="33" t="n"/>
      <c r="W43" s="32" t="n"/>
      <c r="X43" s="33" t="n"/>
      <c r="Y43" s="32" t="n"/>
      <c r="Z43" s="33" t="n"/>
      <c r="AA43" s="32" t="n"/>
      <c r="AB43" s="33" t="n"/>
      <c r="AC43" s="32" t="n"/>
      <c r="AD43" s="33" t="n"/>
      <c r="AE43" s="32" t="n"/>
      <c r="AF43" s="33" t="n"/>
      <c r="AG43" s="32" t="n"/>
      <c r="AH43" s="33" t="n"/>
      <c r="AI43" s="32" t="n"/>
      <c r="AJ43" s="33" t="n"/>
      <c r="AK43" s="32" t="n"/>
      <c r="AL43" s="33" t="n"/>
    </row>
    <row r="45" ht="21" customHeight="1">
      <c r="B45" s="17" t="inlineStr">
        <is>
          <t>INTANGIBLES   —   no points.  Strong, Neutral or Concern, and why.</t>
        </is>
      </c>
    </row>
    <row r="46" ht="26" customHeight="1">
      <c r="B46" s="49" t="inlineStr">
        <is>
          <t xml:space="preserve">    Fill these after the scored sections, and let them contradict the number if that is what you see. Write the reason and your initials — in the working session someone will ask what specifically gave you that read.</t>
        </is>
      </c>
    </row>
    <row r="47" ht="28" customHeight="1">
      <c r="B47" s="34" t="inlineStr">
        <is>
          <t>Feel</t>
        </is>
      </c>
      <c r="C47" s="35" t="inlineStr">
        <is>
          <t>Home health fluency</t>
        </is>
      </c>
      <c r="D47" s="36" t="inlineStr">
        <is>
          <t>Do these read like people who have stood in a branch? Unprompted vocabulary, problems they raise that we did not ask about.</t>
        </is>
      </c>
      <c r="E47" s="37" t="n"/>
      <c r="F47" s="38" t="inlineStr">
        <is>
          <t>Strong   ·   Neutral   ·   Concern  — reason and initials in the notes</t>
        </is>
      </c>
      <c r="G47" s="39" t="n"/>
      <c r="H47" s="40" t="n"/>
      <c r="I47" s="39" t="n"/>
      <c r="J47" s="40" t="n"/>
      <c r="K47" s="39" t="n"/>
      <c r="L47" s="40" t="n"/>
      <c r="M47" s="39" t="n"/>
      <c r="N47" s="40" t="n"/>
      <c r="O47" s="39" t="n"/>
      <c r="P47" s="40" t="n"/>
      <c r="Q47" s="39" t="n"/>
      <c r="R47" s="40" t="n"/>
      <c r="S47" s="39" t="n"/>
      <c r="T47" s="40" t="n"/>
      <c r="U47" s="39" t="n"/>
      <c r="V47" s="40" t="n"/>
      <c r="W47" s="39" t="n"/>
      <c r="X47" s="40" t="n"/>
      <c r="Y47" s="39" t="n"/>
      <c r="Z47" s="40" t="n"/>
      <c r="AA47" s="39" t="n"/>
      <c r="AB47" s="40" t="n"/>
      <c r="AC47" s="39" t="n"/>
      <c r="AD47" s="40" t="n"/>
      <c r="AE47" s="39" t="n"/>
      <c r="AF47" s="40" t="n"/>
      <c r="AG47" s="39" t="n"/>
      <c r="AH47" s="40" t="n"/>
      <c r="AI47" s="39" t="n"/>
      <c r="AJ47" s="40" t="n"/>
      <c r="AK47" s="39" t="n"/>
      <c r="AL47" s="40" t="n"/>
    </row>
    <row r="48" ht="28" customHeight="1">
      <c r="B48" s="34" t="inlineStr">
        <is>
          <t>Feel</t>
        </is>
      </c>
      <c r="C48" s="35" t="inlineStr">
        <is>
          <t>Candor about gaps</t>
        </is>
      </c>
      <c r="D48" s="36" t="inlineStr">
        <is>
          <t>Did they say 'we don't do that' anywhere? A vendor who claims everything has told us something.</t>
        </is>
      </c>
      <c r="E48" s="37" t="n"/>
      <c r="F48" s="38" t="inlineStr">
        <is>
          <t>Strong   ·   Neutral   ·   Concern  — reason and initials in the notes</t>
        </is>
      </c>
      <c r="G48" s="39" t="n"/>
      <c r="H48" s="40" t="n"/>
      <c r="I48" s="39" t="n"/>
      <c r="J48" s="40" t="n"/>
      <c r="K48" s="39" t="n"/>
      <c r="L48" s="40" t="n"/>
      <c r="M48" s="39" t="n"/>
      <c r="N48" s="40" t="n"/>
      <c r="O48" s="39" t="n"/>
      <c r="P48" s="40" t="n"/>
      <c r="Q48" s="39" t="n"/>
      <c r="R48" s="40" t="n"/>
      <c r="S48" s="39" t="n"/>
      <c r="T48" s="40" t="n"/>
      <c r="U48" s="39" t="n"/>
      <c r="V48" s="40" t="n"/>
      <c r="W48" s="39" t="n"/>
      <c r="X48" s="40" t="n"/>
      <c r="Y48" s="39" t="n"/>
      <c r="Z48" s="40" t="n"/>
      <c r="AA48" s="39" t="n"/>
      <c r="AB48" s="40" t="n"/>
      <c r="AC48" s="39" t="n"/>
      <c r="AD48" s="40" t="n"/>
      <c r="AE48" s="39" t="n"/>
      <c r="AF48" s="40" t="n"/>
      <c r="AG48" s="39" t="n"/>
      <c r="AH48" s="40" t="n"/>
      <c r="AI48" s="39" t="n"/>
      <c r="AJ48" s="40" t="n"/>
      <c r="AK48" s="39" t="n"/>
      <c r="AL48" s="40" t="n"/>
    </row>
    <row r="49" ht="28" customHeight="1">
      <c r="B49" s="34" t="inlineStr">
        <is>
          <t>Feel</t>
        </is>
      </c>
      <c r="C49" s="35" t="inlineStr">
        <is>
          <t>Who wrote this</t>
        </is>
      </c>
      <c r="D49" s="36" t="inlineStr">
        <is>
          <t>Marketing, sales engineer, or someone who built it. Specificity, and willingness to name a constraint.</t>
        </is>
      </c>
      <c r="E49" s="37" t="n"/>
      <c r="F49" s="38" t="inlineStr">
        <is>
          <t>Strong   ·   Neutral   ·   Concern  — reason and initials in the notes</t>
        </is>
      </c>
      <c r="G49" s="39" t="n"/>
      <c r="H49" s="40" t="n"/>
      <c r="I49" s="39" t="n"/>
      <c r="J49" s="40" t="n"/>
      <c r="K49" s="39" t="n"/>
      <c r="L49" s="40" t="n"/>
      <c r="M49" s="39" t="n"/>
      <c r="N49" s="40" t="n"/>
      <c r="O49" s="39" t="n"/>
      <c r="P49" s="40" t="n"/>
      <c r="Q49" s="39" t="n"/>
      <c r="R49" s="40" t="n"/>
      <c r="S49" s="39" t="n"/>
      <c r="T49" s="40" t="n"/>
      <c r="U49" s="39" t="n"/>
      <c r="V49" s="40" t="n"/>
      <c r="W49" s="39" t="n"/>
      <c r="X49" s="40" t="n"/>
      <c r="Y49" s="39" t="n"/>
      <c r="Z49" s="40" t="n"/>
      <c r="AA49" s="39" t="n"/>
      <c r="AB49" s="40" t="n"/>
      <c r="AC49" s="39" t="n"/>
      <c r="AD49" s="40" t="n"/>
      <c r="AE49" s="39" t="n"/>
      <c r="AF49" s="40" t="n"/>
      <c r="AG49" s="39" t="n"/>
      <c r="AH49" s="40" t="n"/>
      <c r="AI49" s="39" t="n"/>
      <c r="AJ49" s="40" t="n"/>
      <c r="AK49" s="39" t="n"/>
      <c r="AL49" s="40" t="n"/>
    </row>
    <row r="50" ht="28" customHeight="1">
      <c r="B50" s="34" t="inlineStr">
        <is>
          <t>Feel</t>
        </is>
      </c>
      <c r="C50" s="35" t="inlineStr">
        <is>
          <t>Durability</t>
        </is>
      </c>
      <c r="D50" s="36" t="inlineStr">
        <is>
          <t>Will they exist in three years, and will this still be their main business? Are we uncomfortably their largest customer?</t>
        </is>
      </c>
      <c r="E50" s="37" t="n"/>
      <c r="F50" s="38" t="inlineStr">
        <is>
          <t>Strong   ·   Neutral   ·   Concern  — reason and initials in the notes</t>
        </is>
      </c>
      <c r="G50" s="39" t="n"/>
      <c r="H50" s="40" t="n"/>
      <c r="I50" s="39" t="n"/>
      <c r="J50" s="40" t="n"/>
      <c r="K50" s="39" t="n"/>
      <c r="L50" s="40" t="n"/>
      <c r="M50" s="39" t="n"/>
      <c r="N50" s="40" t="n"/>
      <c r="O50" s="39" t="n"/>
      <c r="P50" s="40" t="n"/>
      <c r="Q50" s="39" t="n"/>
      <c r="R50" s="40" t="n"/>
      <c r="S50" s="39" t="n"/>
      <c r="T50" s="40" t="n"/>
      <c r="U50" s="39" t="n"/>
      <c r="V50" s="40" t="n"/>
      <c r="W50" s="39" t="n"/>
      <c r="X50" s="40" t="n"/>
      <c r="Y50" s="39" t="n"/>
      <c r="Z50" s="40" t="n"/>
      <c r="AA50" s="39" t="n"/>
      <c r="AB50" s="40" t="n"/>
      <c r="AC50" s="39" t="n"/>
      <c r="AD50" s="40" t="n"/>
      <c r="AE50" s="39" t="n"/>
      <c r="AF50" s="40" t="n"/>
      <c r="AG50" s="39" t="n"/>
      <c r="AH50" s="40" t="n"/>
      <c r="AI50" s="39" t="n"/>
      <c r="AJ50" s="40" t="n"/>
      <c r="AK50" s="39" t="n"/>
      <c r="AL50" s="40" t="n"/>
    </row>
    <row r="51" ht="28" customHeight="1">
      <c r="B51" s="34" t="inlineStr">
        <is>
          <t>Feel</t>
        </is>
      </c>
      <c r="C51" s="35" t="inlineStr">
        <is>
          <t>The room test</t>
        </is>
      </c>
      <c r="D51" s="36" t="inlineStr">
        <is>
          <t>Would we want these people in our building for two years? Leave blank until after the demo — on purpose.</t>
        </is>
      </c>
      <c r="E51" s="37" t="n"/>
      <c r="F51" s="38" t="inlineStr">
        <is>
          <t>Strong   ·   Neutral   ·   Concern  — reason and initials in the notes</t>
        </is>
      </c>
      <c r="G51" s="39" t="n"/>
      <c r="H51" s="40" t="n"/>
      <c r="I51" s="39" t="n"/>
      <c r="J51" s="40" t="n"/>
      <c r="K51" s="39" t="n"/>
      <c r="L51" s="40" t="n"/>
      <c r="M51" s="39" t="n"/>
      <c r="N51" s="40" t="n"/>
      <c r="O51" s="39" t="n"/>
      <c r="P51" s="40" t="n"/>
      <c r="Q51" s="39" t="n"/>
      <c r="R51" s="40" t="n"/>
      <c r="S51" s="39" t="n"/>
      <c r="T51" s="40" t="n"/>
      <c r="U51" s="39" t="n"/>
      <c r="V51" s="40" t="n"/>
      <c r="W51" s="39" t="n"/>
      <c r="X51" s="40" t="n"/>
      <c r="Y51" s="39" t="n"/>
      <c r="Z51" s="40" t="n"/>
      <c r="AA51" s="39" t="n"/>
      <c r="AB51" s="40" t="n"/>
      <c r="AC51" s="39" t="n"/>
      <c r="AD51" s="40" t="n"/>
      <c r="AE51" s="39" t="n"/>
      <c r="AF51" s="40" t="n"/>
      <c r="AG51" s="39" t="n"/>
      <c r="AH51" s="40" t="n"/>
      <c r="AI51" s="39" t="n"/>
      <c r="AJ51" s="40" t="n"/>
      <c r="AK51" s="39" t="n"/>
      <c r="AL51" s="40" t="n"/>
    </row>
    <row r="53" ht="21" customHeight="1">
      <c r="B53" s="50" t="inlineStr">
        <is>
          <t>NOTES   —   one line each.  This is what we go and ask.</t>
        </is>
      </c>
    </row>
    <row r="54" ht="54" customHeight="1">
      <c r="C54" s="51" t="inlineStr">
        <is>
          <t>What stands out</t>
        </is>
      </c>
      <c r="D54" s="52" t="inlineStr">
        <is>
          <t>against the field, or against our own thinking</t>
        </is>
      </c>
      <c r="E54" s="53" t="inlineStr">
        <is>
          <t>—</t>
        </is>
      </c>
      <c r="G54" s="40" t="n"/>
      <c r="I54" s="40" t="n"/>
      <c r="K54" s="40" t="n"/>
      <c r="M54" s="40" t="n"/>
      <c r="O54" s="40" t="n"/>
      <c r="Q54" s="40" t="n"/>
      <c r="S54" s="40" t="n"/>
      <c r="U54" s="40" t="n"/>
      <c r="W54" s="40" t="n"/>
      <c r="Y54" s="40" t="n"/>
      <c r="AA54" s="40" t="n"/>
      <c r="AC54" s="40" t="n"/>
      <c r="AE54" s="40" t="n"/>
      <c r="AG54" s="40" t="n"/>
      <c r="AI54" s="40" t="n"/>
      <c r="AK54" s="40" t="n"/>
    </row>
    <row r="55" ht="54" customHeight="1">
      <c r="C55" s="51" t="inlineStr">
        <is>
          <t>What worries me</t>
        </is>
      </c>
      <c r="D55" s="52" t="inlineStr">
        <is>
          <t>including anything flagged above</t>
        </is>
      </c>
      <c r="E55" s="53" t="inlineStr">
        <is>
          <t>—</t>
        </is>
      </c>
      <c r="G55" s="40" t="n"/>
      <c r="I55" s="40" t="n"/>
      <c r="K55" s="40" t="n"/>
      <c r="M55" s="40" t="n"/>
      <c r="O55" s="40" t="n"/>
      <c r="Q55" s="40" t="n"/>
      <c r="S55" s="40" t="n"/>
      <c r="U55" s="40" t="n"/>
      <c r="W55" s="40" t="n"/>
      <c r="Y55" s="40" t="n"/>
      <c r="AA55" s="40" t="n"/>
      <c r="AC55" s="40" t="n"/>
      <c r="AE55" s="40" t="n"/>
      <c r="AG55" s="40" t="n"/>
      <c r="AI55" s="40" t="n"/>
      <c r="AK55" s="40" t="n"/>
    </row>
    <row r="56" ht="54" customHeight="1">
      <c r="C56" s="51" t="inlineStr">
        <is>
          <t>What to go and ask</t>
        </is>
      </c>
      <c r="D56" s="52" t="inlineStr">
        <is>
          <t>the demo agenda</t>
        </is>
      </c>
      <c r="E56" s="53" t="inlineStr">
        <is>
          <t>—</t>
        </is>
      </c>
      <c r="G56" s="40" t="n"/>
      <c r="I56" s="40" t="n"/>
      <c r="K56" s="40" t="n"/>
      <c r="M56" s="40" t="n"/>
      <c r="O56" s="40" t="n"/>
      <c r="Q56" s="40" t="n"/>
      <c r="S56" s="40" t="n"/>
      <c r="U56" s="40" t="n"/>
      <c r="W56" s="40" t="n"/>
      <c r="Y56" s="40" t="n"/>
      <c r="AA56" s="40" t="n"/>
      <c r="AC56" s="40" t="n"/>
      <c r="AE56" s="40" t="n"/>
      <c r="AG56" s="40" t="n"/>
      <c r="AI56" s="40" t="n"/>
      <c r="AK56" s="40" t="n"/>
    </row>
  </sheetData>
  <mergeCells count="65">
    <mergeCell ref="E27:E29"/>
    <mergeCell ref="Q56:R56"/>
    <mergeCell ref="S56:T56"/>
    <mergeCell ref="Y56:Z56"/>
    <mergeCell ref="D1:E1"/>
    <mergeCell ref="M55:N55"/>
    <mergeCell ref="AE54:AF54"/>
    <mergeCell ref="AG54:AH54"/>
    <mergeCell ref="Y55:Z55"/>
    <mergeCell ref="K54:L54"/>
    <mergeCell ref="K55:L55"/>
    <mergeCell ref="G1:AL1"/>
    <mergeCell ref="Y54:Z54"/>
    <mergeCell ref="AE56:AF56"/>
    <mergeCell ref="Q54:R54"/>
    <mergeCell ref="Q55:R55"/>
    <mergeCell ref="W55:X55"/>
    <mergeCell ref="B30:AL30"/>
    <mergeCell ref="M56:N56"/>
    <mergeCell ref="AG56:AH56"/>
    <mergeCell ref="I54:J54"/>
    <mergeCell ref="M54:N54"/>
    <mergeCell ref="O54:P54"/>
    <mergeCell ref="W54:X54"/>
    <mergeCell ref="B45:AL45"/>
    <mergeCell ref="AK54:AL54"/>
    <mergeCell ref="I56:J56"/>
    <mergeCell ref="B35:AL35"/>
    <mergeCell ref="AC55:AD55"/>
    <mergeCell ref="AI55:AJ55"/>
    <mergeCell ref="B26:AL26"/>
    <mergeCell ref="AK55:AL55"/>
    <mergeCell ref="K56:L56"/>
    <mergeCell ref="U56:V56"/>
    <mergeCell ref="W56:X56"/>
    <mergeCell ref="B7:AL7"/>
    <mergeCell ref="I55:J55"/>
    <mergeCell ref="AA54:AB54"/>
    <mergeCell ref="O55:P55"/>
    <mergeCell ref="B16:AL16"/>
    <mergeCell ref="AC54:AD54"/>
    <mergeCell ref="AI54:AJ54"/>
    <mergeCell ref="B46:AL46"/>
    <mergeCell ref="B22:AL22"/>
    <mergeCell ref="O56:P56"/>
    <mergeCell ref="E23:E25"/>
    <mergeCell ref="G55:H55"/>
    <mergeCell ref="AA56:AB56"/>
    <mergeCell ref="S55:T55"/>
    <mergeCell ref="AC56:AD56"/>
    <mergeCell ref="AI56:AJ56"/>
    <mergeCell ref="U54:V54"/>
    <mergeCell ref="B21:AL21"/>
    <mergeCell ref="U55:V55"/>
    <mergeCell ref="AA55:AB55"/>
    <mergeCell ref="AK56:AL56"/>
    <mergeCell ref="B39:AL39"/>
    <mergeCell ref="G54:H54"/>
    <mergeCell ref="B42:AL42"/>
    <mergeCell ref="S54:T54"/>
    <mergeCell ref="E31:E33"/>
    <mergeCell ref="AE55:AF55"/>
    <mergeCell ref="G56:H56"/>
    <mergeCell ref="B53:AL53"/>
    <mergeCell ref="AG55:AH55"/>
  </mergeCells>
  <conditionalFormatting sqref="G3:AK3">
    <cfRule type="colorScale" priority="1">
      <colorScale>
        <cfvo type="num" val="40"/>
        <cfvo type="num" val="65"/>
        <cfvo type="num" val="90"/>
        <color rgb="00F5E3E3"/>
        <color rgb="00FBF3DD"/>
        <color rgb="00DDEBE0"/>
      </colorScale>
    </cfRule>
  </conditionalFormatting>
  <conditionalFormatting sqref="G8:AK8">
    <cfRule type="colorScale" priority="2">
      <colorScale>
        <cfvo type="num" val="0"/>
        <cfvo type="num" val="1"/>
        <color rgb="00FFFFFF"/>
        <color rgb="003F7A50"/>
      </colorScale>
    </cfRule>
  </conditionalFormatting>
  <conditionalFormatting sqref="G9:AK9">
    <cfRule type="colorScale" priority="3">
      <colorScale>
        <cfvo type="num" val="0"/>
        <cfvo type="num" val="1"/>
        <color rgb="00FFFFFF"/>
        <color rgb="003F7A50"/>
      </colorScale>
    </cfRule>
  </conditionalFormatting>
  <conditionalFormatting sqref="G10:AK10">
    <cfRule type="colorScale" priority="4">
      <colorScale>
        <cfvo type="num" val="0"/>
        <cfvo type="num" val="1"/>
        <color rgb="00FFFFFF"/>
        <color rgb="003F7A50"/>
      </colorScale>
    </cfRule>
  </conditionalFormatting>
  <conditionalFormatting sqref="G11:AK11">
    <cfRule type="colorScale" priority="5">
      <colorScale>
        <cfvo type="num" val="0"/>
        <cfvo type="num" val="1"/>
        <color rgb="00FFFFFF"/>
        <color rgb="003F7A50"/>
      </colorScale>
    </cfRule>
  </conditionalFormatting>
  <conditionalFormatting sqref="G12:AK12">
    <cfRule type="colorScale" priority="6">
      <colorScale>
        <cfvo type="num" val="0"/>
        <cfvo type="num" val="1"/>
        <color rgb="00FFFFFF"/>
        <color rgb="003F7A50"/>
      </colorScale>
    </cfRule>
  </conditionalFormatting>
  <conditionalFormatting sqref="G13:AK13">
    <cfRule type="colorScale" priority="7">
      <colorScale>
        <cfvo type="num" val="0"/>
        <cfvo type="num" val="1"/>
        <color rgb="00FFFFFF"/>
        <color rgb="003F7A50"/>
      </colorScale>
    </cfRule>
  </conditionalFormatting>
  <conditionalFormatting sqref="G14:AK14">
    <cfRule type="colorScale" priority="8">
      <colorScale>
        <cfvo type="num" val="0"/>
        <cfvo type="num" val="1"/>
        <color rgb="00FFFFFF"/>
        <color rgb="003F7A50"/>
      </colorScale>
    </cfRule>
  </conditionalFormatting>
  <conditionalFormatting sqref="G18:AK18">
    <cfRule type="expression" priority="9" dxfId="0">
      <formula>G18="STOP-CHECK"</formula>
    </cfRule>
    <cfRule type="expression" priority="10" dxfId="1">
      <formula>G18="Watch"</formula>
    </cfRule>
  </conditionalFormatting>
  <conditionalFormatting sqref="G19:AK19">
    <cfRule type="expression" priority="11" dxfId="0">
      <formula>G19="STOP-CHECK"</formula>
    </cfRule>
    <cfRule type="expression" priority="12" dxfId="1">
      <formula>G19="Watch"</formula>
    </cfRule>
  </conditionalFormatting>
  <conditionalFormatting sqref="G37:AK37">
    <cfRule type="expression" priority="13" dxfId="0">
      <formula>G37="STOP-CHECK"</formula>
    </cfRule>
    <cfRule type="expression" priority="14" dxfId="1">
      <formula>G37="Watch"</formula>
    </cfRule>
  </conditionalFormatting>
  <conditionalFormatting sqref="G47:AK47">
    <cfRule type="expression" priority="15" dxfId="0">
      <formula>G47="Concern"</formula>
    </cfRule>
    <cfRule type="expression" priority="16" dxfId="2">
      <formula>G47="Strong"</formula>
    </cfRule>
  </conditionalFormatting>
  <conditionalFormatting sqref="G48:AK48">
    <cfRule type="expression" priority="17" dxfId="0">
      <formula>G48="Concern"</formula>
    </cfRule>
    <cfRule type="expression" priority="18" dxfId="2">
      <formula>G48="Strong"</formula>
    </cfRule>
  </conditionalFormatting>
  <conditionalFormatting sqref="G49:AK49">
    <cfRule type="expression" priority="19" dxfId="0">
      <formula>G49="Concern"</formula>
    </cfRule>
    <cfRule type="expression" priority="20" dxfId="2">
      <formula>G49="Strong"</formula>
    </cfRule>
  </conditionalFormatting>
  <conditionalFormatting sqref="G50:AK50">
    <cfRule type="expression" priority="21" dxfId="0">
      <formula>G50="Concern"</formula>
    </cfRule>
    <cfRule type="expression" priority="22" dxfId="2">
      <formula>G50="Strong"</formula>
    </cfRule>
  </conditionalFormatting>
  <conditionalFormatting sqref="G51:AK51">
    <cfRule type="expression" priority="23" dxfId="0">
      <formula>G51="Concern"</formula>
    </cfRule>
    <cfRule type="expression" priority="24" dxfId="2">
      <formula>G51="Strong"</formula>
    </cfRule>
  </conditionalFormatting>
  <conditionalFormatting sqref="G4:AK4">
    <cfRule type="expression" priority="25" dxfId="1">
      <formula>ISNUMBER(SEARCH("Conditional",G4))</formula>
    </cfRule>
  </conditionalFormatting>
  <dataValidations count="21">
    <dataValidation sqref="G17 I17 K17 M17 O17 Q17 S17 U17 W17 Y17 AA17 AC17 AE17 AG17 AI17 AK17" showDropDown="0" showInputMessage="1" showErrorMessage="1" allowBlank="1" errorTitle="Pick from the list" error="Use the dropdown. A typed value would silently score zero." promptTitle="A1 — Home Care Home Base" prompt="Pick one line. Ambiguous? Take the lower one and say why in the notes." type="list" errorStyle="stop">
      <formula1>=HCHB_List</formula1>
    </dataValidation>
    <dataValidation sqref="G23 I23 K23 M23 O23 Q23 S23 U23 W23 Y23 AA23 AC23 AE23 AG23 AI23 AK23"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4 I24 K24 M24 O24 Q24 S24 U24 W24 Y24 AA24 AC24 AE24 AG24 AI24 AK24"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5 I25 K25 M25 O25 Q25 S25 U25 W25 Y25 AA25 AC25 AE25 AG25 AI25 AK25"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7 I27 K27 M27 O27 Q27 S27 U27 W27 Y27 AA27 AC27 AE27 AG27 AI27 AK27"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8 I28 K28 M28 O28 Q28 S28 U28 W28 Y28 AA28 AC28 AE28 AG28 AI28 AK28"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9 I29 K29 M29 O29 Q29 S29 U29 W29 Y29 AA29 AC29 AE29 AG29 AI29 AK29"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31 I31 K31 M31 O31 Q31 S31 U31 W31 Y31 AA31 AC31 AE31 AG31 AI31 AK31"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32 I32 K32 M32 O32 Q32 S32 U32 W32 Y32 AA32 AC32 AE32 AG32 AI32 AK32"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33 I33 K33 M33 O33 Q33 S33 U33 W33 Y33 AA33 AC33 AE33 AG33 AI33 AK33"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36 I36 K36 M36 O36 Q36 S36 U36 W36 Y36 AA36 AC36 AE36 AG36 AI36 AK36" showDropDown="0" showInputMessage="1" showErrorMessage="1" allowBlank="1" errorTitle="Pick from the list" error="Use the dropdown. A typed value would silently score zero." promptTitle="Sophistication, 0–4" prompt="1 shows it · 2 checks it · 3 recommends it · 4 runs it. Score the product, not the write-up." type="list" errorStyle="stop">
      <formula1>=Soph_List</formula1>
    </dataValidation>
    <dataValidation sqref="G40 I40 K40 M40 O40 Q40 S40 U40 W40 Y40 AA40 AC40 AE40 AG40 AI40 AK40" showDropDown="0" showInputMessage="1" showErrorMessage="1" allowBlank="1" errorTitle="Pick from the list" error="Use the dropdown. A typed value would silently score zero." promptTitle="Clinician fit, 0–4" prompt="Read D1 to D3 and give it your own read. No checklist, on purpose." type="list" errorStyle="stop">
      <formula1>=Clin_List</formula1>
    </dataValidation>
    <dataValidation sqref="G43 I43 K43 M43 O43 Q43 S43 U43 W43 Y43 AA43 AC43 AE43 AG43 AI43 AK43" showDropDown="0" showInputMessage="1" showErrorMessage="1" allowBlank="1" errorTitle="Pick from the list" error="Use the dropdown. A typed value would silently score zero." promptTitle="Partnership, 0–4" prompt="Able and willing to build it with us, and open to us holding a stake." type="list" errorStyle="stop">
      <formula1>=Part_List</formula1>
    </dataValidation>
    <dataValidation sqref="G18 I18 K18 M18 O18 Q18 S18 U18 W18 Y18 AA18 AC18 AE18 AG18 AI18 AK18"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G19 I19 K19 M19 O19 Q19 S19 U19 W19 Y19 AA19 AC19 AE19 AG19 AI19 AK19"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G37 I37 K37 M37 O37 Q37 S37 U37 W37 Y37 AA37 AC37 AE37 AG37 AI37 AK37"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G47 I47 K47 M47 O47 Q47 S47 U47 W47 Y47 AA47 AC47 AE47 AG47 AI47 AK47"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G48 I48 K48 M48 O48 Q48 S48 U48 W48 Y48 AA48 AC48 AE48 AG48 AI48 AK48"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G49 I49 K49 M49 O49 Q49 S49 U49 W49 Y49 AA49 AC49 AE49 AG49 AI49 AK49"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G50 I50 K50 M50 O50 Q50 S50 U50 W50 Y50 AA50 AC50 AE50 AG50 AI50 AK50"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G51 I51 K51 M51 O51 Q51 S51 U51 W51 Y51 AA51 AC51 AE51 AG51 AI51 AK51"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9A7B15"/>
    <outlinePr summaryBelow="1" summaryRight="1"/>
    <pageSetUpPr/>
  </sheetPr>
  <dimension ref="B2:D85"/>
  <sheetViews>
    <sheetView showGridLines="0" tabSelected="0" workbookViewId="0">
      <selection activeCell="A1" sqref="A1"/>
    </sheetView>
  </sheetViews>
  <sheetFormatPr baseColWidth="8" defaultRowHeight="15"/>
  <cols>
    <col width="4" customWidth="1" min="1" max="1"/>
    <col width="30" customWidth="1" min="2" max="2"/>
    <col width="12" customWidth="1" min="3" max="3"/>
    <col width="96" customWidth="1" min="4" max="4"/>
  </cols>
  <sheetData>
    <row r="2">
      <c r="B2" s="54" t="inlineStr">
        <is>
          <t>COMPASSUS  ·  HOME HEALTH</t>
        </is>
      </c>
    </row>
    <row r="3" ht="32" customHeight="1">
      <c r="B3" s="55" t="inlineStr">
        <is>
          <t>Vendor Scorecard</t>
        </is>
      </c>
    </row>
    <row r="4">
      <c r="B4" s="56" t="inlineStr">
        <is>
          <t>The questionnaire is the rubric. Read the return top to bottom and fill the sheet top to bottom.</t>
        </is>
      </c>
    </row>
    <row r="6" ht="10" customHeight="1"/>
    <row r="7" ht="22" customHeight="1">
      <c r="B7" s="26" t="inlineStr">
        <is>
          <t>WEIGHTS   —   change these</t>
        </is>
      </c>
    </row>
    <row r="8" ht="28" customHeight="1">
      <c r="B8" s="57" t="inlineStr">
        <is>
          <t>The section grades are the product. The total is a sort key, so sixteen vendors can be ordered — it is not the decision. Change any weight below and every total and band on both scoring tabs re-computes; nothing else moves. These starting values are a proposal, not a settled position.</t>
        </is>
      </c>
    </row>
    <row r="9">
      <c r="B9" s="58" t="inlineStr">
        <is>
          <t>Section</t>
        </is>
      </c>
      <c r="C9" s="59" t="inlineStr">
        <is>
          <t>Weight</t>
        </is>
      </c>
      <c r="D9" s="58" t="inlineStr">
        <is>
          <t>Graded from</t>
        </is>
      </c>
    </row>
    <row r="10" ht="22" customHeight="1">
      <c r="B10" s="25" t="inlineStr">
        <is>
          <t>Home Care Home Base</t>
        </is>
      </c>
      <c r="C10" s="60" t="n">
        <v>20</v>
      </c>
      <c r="D10" s="9" t="inlineStr">
        <is>
          <t>A1 — one rung of six</t>
        </is>
      </c>
    </row>
    <row r="11" ht="22" customHeight="1">
      <c r="B11" s="25" t="inlineStr">
        <is>
          <t>Capacity</t>
        </is>
      </c>
      <c r="C11" s="60" t="n">
        <v>12</v>
      </c>
      <c r="D11" s="9" t="inlineStr">
        <is>
          <t>Section B — three marks of 0–4</t>
        </is>
      </c>
    </row>
    <row r="12" ht="22" customHeight="1">
      <c r="B12" s="25" t="inlineStr">
        <is>
          <t>Scheduling</t>
        </is>
      </c>
      <c r="C12" s="60" t="n">
        <v>12</v>
      </c>
      <c r="D12" s="9" t="inlineStr">
        <is>
          <t>Section B — three marks of 0–4</t>
        </is>
      </c>
    </row>
    <row r="13" ht="22" customHeight="1">
      <c r="B13" s="25" t="inlineStr">
        <is>
          <t>Engagement</t>
        </is>
      </c>
      <c r="C13" s="60" t="n">
        <v>12</v>
      </c>
      <c r="D13" s="9" t="inlineStr">
        <is>
          <t>Section B — three marks of 0–4</t>
        </is>
      </c>
    </row>
    <row r="14" ht="22" customHeight="1">
      <c r="B14" s="25" t="inlineStr">
        <is>
          <t>Sophistication</t>
        </is>
      </c>
      <c r="C14" s="60" t="n">
        <v>20</v>
      </c>
      <c r="D14" s="9" t="inlineStr">
        <is>
          <t>Section C — one mark of 0–4</t>
        </is>
      </c>
    </row>
    <row r="15" ht="22" customHeight="1">
      <c r="B15" s="25" t="inlineStr">
        <is>
          <t>Clinician fit</t>
        </is>
      </c>
      <c r="C15" s="60" t="n">
        <v>12</v>
      </c>
      <c r="D15" s="9" t="inlineStr">
        <is>
          <t>D1–D3 — one mark of 0–4</t>
        </is>
      </c>
    </row>
    <row r="16" ht="22" customHeight="1">
      <c r="B16" s="25" t="inlineStr">
        <is>
          <t>Partnership</t>
        </is>
      </c>
      <c r="C16" s="60" t="n">
        <v>12</v>
      </c>
      <c r="D16" s="9" t="inlineStr">
        <is>
          <t>E1–E4 — one mark of 0–4</t>
        </is>
      </c>
    </row>
    <row r="17" ht="24" customHeight="1">
      <c r="B17" s="61" t="inlineStr">
        <is>
          <t>TOTAL</t>
        </is>
      </c>
      <c r="C17" s="62">
        <f>SUM(C10:C16)</f>
        <v/>
      </c>
      <c r="D17" s="49" t="inlineStr">
        <is>
          <t>Keep this at 100 and the total stays out of 100.</t>
        </is>
      </c>
    </row>
    <row r="19" ht="22" customHeight="1">
      <c r="B19" s="26" t="inlineStr">
        <is>
          <t>HOW IT WORKS</t>
        </is>
      </c>
    </row>
    <row r="20" ht="28" customHeight="1">
      <c r="B20" s="57" t="inlineStr">
        <is>
          <t>Every one of the 17 questions on the questionnaire has a row on the scoring tabs, in the order it appears on the form. Each vendor gets two columns: the mark, and a wide notes column for the justification, the claim-versus-evidence read, and anything else worth writing down.</t>
        </is>
      </c>
    </row>
    <row r="21" ht="28" customHeight="1">
      <c r="B21" s="57" t="inlineStr">
        <is>
          <t>Thirteen rows take a mark. Three raise a flag rather than moving the score — a vendor with no continuity commitment should be stopped and asked, not quietly docked a few points. Five are intangibles, which carry no points at all.</t>
        </is>
      </c>
    </row>
    <row r="22" ht="10" customHeight="1"/>
    <row r="23" ht="22" customHeight="1">
      <c r="B23" s="26" t="inlineStr">
        <is>
          <t>A1  ·  HOME CARE HOME BASE   —   pick one line</t>
        </is>
      </c>
    </row>
    <row r="24" ht="28" customHeight="1">
      <c r="B24" s="57" t="inlineStr">
        <is>
          <t>Three of the six rungs are live integrations, because live through a partner is still live. Anything not yet live shows as Conditional on the band, whatever the total.</t>
        </is>
      </c>
    </row>
    <row r="25" ht="20" customHeight="1">
      <c r="B25" s="63" t="inlineStr">
        <is>
          <t>20</t>
        </is>
      </c>
      <c r="C25" s="57" t="inlineStr">
        <is>
          <t>Live — established customer base</t>
        </is>
      </c>
    </row>
    <row r="26" ht="20" customHeight="1">
      <c r="B26" s="63" t="inlineStr">
        <is>
          <t>16</t>
        </is>
      </c>
      <c r="C26" s="57" t="inlineStr">
        <is>
          <t>Live — small customer base</t>
        </is>
      </c>
    </row>
    <row r="27" ht="20" customHeight="1">
      <c r="B27" s="63" t="inlineStr">
        <is>
          <t>12</t>
        </is>
      </c>
      <c r="C27" s="57" t="inlineStr">
        <is>
          <t>Live — through a partner</t>
        </is>
      </c>
    </row>
    <row r="28" ht="20" customHeight="1">
      <c r="B28" s="63" t="inlineStr">
        <is>
          <t>6</t>
        </is>
      </c>
      <c r="C28" s="57" t="inlineStr">
        <is>
          <t>In development — with a date</t>
        </is>
      </c>
    </row>
    <row r="29" ht="20" customHeight="1">
      <c r="B29" s="63" t="inlineStr">
        <is>
          <t>2</t>
        </is>
      </c>
      <c r="C29" s="57" t="inlineStr">
        <is>
          <t>On the roadmap — no date</t>
        </is>
      </c>
    </row>
    <row r="30" ht="20" customHeight="1">
      <c r="B30" s="63" t="inlineStr">
        <is>
          <t>0</t>
        </is>
      </c>
      <c r="C30" s="57" t="inlineStr">
        <is>
          <t>None, and no path to one</t>
        </is>
      </c>
    </row>
    <row r="31" ht="10" customHeight="1"/>
    <row r="32" ht="22" customHeight="1">
      <c r="B32" s="26" t="inlineStr">
        <is>
          <t>SECTION B  ·  SCOPE   —   three marks per arena, 0 to 4</t>
        </is>
      </c>
    </row>
    <row r="33" ht="41" customHeight="1">
      <c r="B33" s="57" t="inlineStr">
        <is>
          <t>Each row names the area and what sits inside it, so the checklist is in front of you. Where Section C contradicts Section B, believe Section C. Capacity's three areas map one to one; Scheduling and Engagement have four apiece, so the two that belong together are paired rather than inventing a split the one-pager cannot carry.</t>
        </is>
      </c>
    </row>
    <row r="34" ht="20" customHeight="1">
      <c r="B34" s="63" t="inlineStr">
        <is>
          <t>4</t>
        </is>
      </c>
      <c r="C34" s="57" t="inlineStr">
        <is>
          <t>Most of it</t>
        </is>
      </c>
    </row>
    <row r="35" ht="20" customHeight="1">
      <c r="B35" s="63" t="inlineStr">
        <is>
          <t>3</t>
        </is>
      </c>
      <c r="C35" s="57" t="inlineStr">
        <is>
          <t>More than half</t>
        </is>
      </c>
    </row>
    <row r="36" ht="20" customHeight="1">
      <c r="B36" s="63" t="inlineStr">
        <is>
          <t>2</t>
        </is>
      </c>
      <c r="C36" s="57" t="inlineStr">
        <is>
          <t>About half</t>
        </is>
      </c>
    </row>
    <row r="37" ht="20" customHeight="1">
      <c r="B37" s="63" t="inlineStr">
        <is>
          <t>1</t>
        </is>
      </c>
      <c r="C37" s="57" t="inlineStr">
        <is>
          <t>A corner of it</t>
        </is>
      </c>
    </row>
    <row r="38" ht="20" customHeight="1">
      <c r="B38" s="63" t="inlineStr">
        <is>
          <t>0</t>
        </is>
      </c>
      <c r="C38" s="57" t="inlineStr">
        <is>
          <t>Nothing here</t>
        </is>
      </c>
    </row>
    <row r="39" ht="10" customHeight="1"/>
    <row r="40" ht="22" customHeight="1">
      <c r="B40" s="26" t="inlineStr">
        <is>
          <t>SECTION C  ·  SOPHISTICATION   —   one mark, 0 to 4</t>
        </is>
      </c>
    </row>
    <row r="41" ht="28" customHeight="1">
      <c r="B41" s="57" t="inlineStr">
        <is>
          <t>How much of the work the product does — the Read / Assist / Control language already in our workbook. Score what the product does, not how much the vendor wrote about it. How it does something is a demo question, not a reason to mark it down.</t>
        </is>
      </c>
    </row>
    <row r="42" ht="20" customHeight="1">
      <c r="B42" s="63" t="inlineStr">
        <is>
          <t>4</t>
        </is>
      </c>
      <c r="C42" s="57" t="inlineStr">
        <is>
          <t>Runs it — decides across the whole picture, and re-decides when things change</t>
        </is>
      </c>
    </row>
    <row r="43" ht="20" customHeight="1">
      <c r="B43" s="63" t="inlineStr">
        <is>
          <t>3</t>
        </is>
      </c>
      <c r="C43" s="57" t="inlineStr">
        <is>
          <t>Recommends it — works out the answer and proposes it; a person confirms</t>
        </is>
      </c>
    </row>
    <row r="44" ht="20" customHeight="1">
      <c r="B44" s="63" t="inlineStr">
        <is>
          <t>2</t>
        </is>
      </c>
      <c r="C44" s="57" t="inlineStr">
        <is>
          <t>Checks it — applies rules and flags problems; a person still works it</t>
        </is>
      </c>
    </row>
    <row r="45" ht="20" customHeight="1">
      <c r="B45" s="63" t="inlineStr">
        <is>
          <t>1</t>
        </is>
      </c>
      <c r="C45" s="57" t="inlineStr">
        <is>
          <t>Shows it — surfaces the information; a person does all the work</t>
        </is>
      </c>
    </row>
    <row r="46" ht="20" customHeight="1">
      <c r="B46" s="63" t="inlineStr">
        <is>
          <t>0</t>
        </is>
      </c>
      <c r="C46" s="57" t="inlineStr">
        <is>
          <t>Not addressed</t>
        </is>
      </c>
    </row>
    <row r="47" ht="10" customHeight="1"/>
    <row r="48" ht="22" customHeight="1">
      <c r="B48" s="26" t="inlineStr">
        <is>
          <t>SECTION D  ·  CLINICIAN FIT   —   one mark, 0 to 4</t>
        </is>
      </c>
    </row>
    <row r="49" ht="28" customHeight="1">
      <c r="B49" s="57" t="inlineStr">
        <is>
          <t>No descriptions on purpose. Read D1 to D3 and give it your own read — we know how our clinicians work and what they will accept. Say why in the notes column.</t>
        </is>
      </c>
    </row>
    <row r="50" ht="20" customHeight="1">
      <c r="B50" s="63" t="inlineStr">
        <is>
          <t>4</t>
        </is>
      </c>
      <c r="C50" s="57" t="inlineStr">
        <is>
          <t>Strong fit</t>
        </is>
      </c>
    </row>
    <row r="51" ht="20" customHeight="1">
      <c r="B51" s="63" t="inlineStr">
        <is>
          <t>3</t>
        </is>
      </c>
      <c r="C51" s="57" t="inlineStr">
        <is>
          <t>Good fit</t>
        </is>
      </c>
    </row>
    <row r="52" ht="20" customHeight="1">
      <c r="B52" s="63" t="inlineStr">
        <is>
          <t>2</t>
        </is>
      </c>
      <c r="C52" s="57" t="inlineStr">
        <is>
          <t>Workable</t>
        </is>
      </c>
    </row>
    <row r="53" ht="20" customHeight="1">
      <c r="B53" s="63" t="inlineStr">
        <is>
          <t>1</t>
        </is>
      </c>
      <c r="C53" s="57" t="inlineStr">
        <is>
          <t>Poor fit</t>
        </is>
      </c>
    </row>
    <row r="54" ht="20" customHeight="1">
      <c r="B54" s="63" t="inlineStr">
        <is>
          <t>0</t>
        </is>
      </c>
      <c r="C54" s="57" t="inlineStr">
        <is>
          <t>Not answered</t>
        </is>
      </c>
    </row>
    <row r="55" ht="10" customHeight="1"/>
    <row r="56" ht="22" customHeight="1">
      <c r="B56" s="26" t="inlineStr">
        <is>
          <t>SECTION E  ·  PARTNERSHIP   —   one mark, 0 to 4</t>
        </is>
      </c>
    </row>
    <row r="57" ht="28" customHeight="1">
      <c r="B57" s="57" t="inlineStr">
        <is>
          <t>A company with the willingness and the environment to build this around our needs, and open to us holding equity so a product for the general market becomes possible. Read all four E answers, not only E2. A discount is a discount.</t>
        </is>
      </c>
    </row>
    <row r="58" ht="20" customHeight="1">
      <c r="B58" s="63" t="inlineStr">
        <is>
          <t>4</t>
        </is>
      </c>
      <c r="C58" s="57" t="inlineStr">
        <is>
          <t>Open to equity or a stake in what we build, and set up to build it with us</t>
        </is>
      </c>
    </row>
    <row r="59" ht="20" customHeight="1">
      <c r="B59" s="63" t="inlineStr">
        <is>
          <t>3</t>
        </is>
      </c>
      <c r="C59" s="57" t="inlineStr">
        <is>
          <t>Ready to build to our needs as a design partner; ownership not addressed</t>
        </is>
      </c>
    </row>
    <row r="60" ht="20" customHeight="1">
      <c r="B60" s="63" t="inlineStr">
        <is>
          <t>2</t>
        </is>
      </c>
      <c r="C60" s="57" t="inlineStr">
        <is>
          <t>Will take our input, but they own the roadmap and the product</t>
        </is>
      </c>
    </row>
    <row r="61" ht="20" customHeight="1">
      <c r="B61" s="63" t="inlineStr">
        <is>
          <t>1</t>
        </is>
      </c>
      <c r="C61" s="57" t="inlineStr">
        <is>
          <t>A standard customer relationship — we buy what already exists</t>
        </is>
      </c>
    </row>
    <row r="62" ht="20" customHeight="1">
      <c r="B62" s="63" t="inlineStr">
        <is>
          <t>0</t>
        </is>
      </c>
      <c r="C62" s="57" t="inlineStr">
        <is>
          <t>Not answered</t>
        </is>
      </c>
    </row>
    <row r="63" ht="10" customHeight="1"/>
    <row r="64" ht="22" customHeight="1">
      <c r="B64" s="26" t="inlineStr">
        <is>
          <t>INTANGIBLES   —   no points, and allowed to disagree with the score</t>
        </is>
      </c>
    </row>
    <row r="65" ht="28" customHeight="1">
      <c r="B65" s="57" t="inlineStr">
        <is>
          <t>The reads we will form as we work through these answers and meet these people. Strong, Neutral or Concern, with the reason and your initials in the notes column. If this section never disagrees with the numbers, it is not doing anything.</t>
        </is>
      </c>
    </row>
    <row r="66" ht="20" customHeight="1">
      <c r="B66" s="63" t="inlineStr"/>
      <c r="C66" s="57" t="inlineStr">
        <is>
          <t>Home health fluency</t>
        </is>
      </c>
    </row>
    <row r="67" ht="20" customHeight="1">
      <c r="B67" s="63" t="inlineStr"/>
      <c r="C67" s="57" t="inlineStr">
        <is>
          <t>Candor about gaps</t>
        </is>
      </c>
    </row>
    <row r="68" ht="20" customHeight="1">
      <c r="B68" s="63" t="inlineStr"/>
      <c r="C68" s="57" t="inlineStr">
        <is>
          <t>Who wrote this</t>
        </is>
      </c>
    </row>
    <row r="69" ht="20" customHeight="1">
      <c r="B69" s="63" t="inlineStr"/>
      <c r="C69" s="57" t="inlineStr">
        <is>
          <t>Durability</t>
        </is>
      </c>
    </row>
    <row r="70" ht="20" customHeight="1">
      <c r="B70" s="63" t="inlineStr"/>
      <c r="C70" s="57" t="inlineStr">
        <is>
          <t>The room test</t>
        </is>
      </c>
    </row>
    <row r="71" ht="28" customHeight="1">
      <c r="B71" s="57" t="inlineStr">
        <is>
          <t>This is also where bias gets in. Not credible can mean they were vague, or that they were unfamiliar. The protection is that every read is written down with a reason, so someone can ask what specifically gave you that.</t>
        </is>
      </c>
    </row>
    <row r="72" ht="10" customHeight="1"/>
    <row r="73" ht="22" customHeight="1">
      <c r="B73" s="26" t="inlineStr">
        <is>
          <t>THE THREE THAT RAISE A FLAG INSTEAD</t>
        </is>
      </c>
    </row>
    <row r="74" ht="20" customHeight="1">
      <c r="B74" s="63" t="inlineStr">
        <is>
          <t>A2</t>
        </is>
      </c>
      <c r="C74" s="57" t="inlineStr">
        <is>
          <t>Customers, scale and references — stop-check if one customer, or no references</t>
        </is>
      </c>
    </row>
    <row r="75" ht="20" customHeight="1">
      <c r="B75" s="63" t="inlineStr">
        <is>
          <t>A3</t>
        </is>
      </c>
      <c r="C75" s="57" t="inlineStr">
        <is>
          <t>Measured impact — watch if claimed with no baseline or period</t>
        </is>
      </c>
    </row>
    <row r="76" ht="20" customHeight="1">
      <c r="B76" s="63" t="inlineStr">
        <is>
          <t>C6</t>
        </is>
      </c>
      <c r="C76" s="57" t="inlineStr">
        <is>
          <t>When your product is down — stop-check if no uptime figure or commitment</t>
        </is>
      </c>
    </row>
    <row r="77" ht="10" customHeight="1"/>
    <row r="78" ht="22" customHeight="1">
      <c r="B78" s="26" t="inlineStr">
        <is>
          <t>BANDS</t>
        </is>
      </c>
    </row>
    <row r="79" ht="20" customHeight="1">
      <c r="B79" s="63" t="inlineStr">
        <is>
          <t>80–100</t>
        </is>
      </c>
      <c r="C79" s="57" t="inlineStr">
        <is>
          <t>Advance</t>
        </is>
      </c>
    </row>
    <row r="80" ht="20" customHeight="1">
      <c r="B80" s="63" t="inlineStr">
        <is>
          <t>65–79</t>
        </is>
      </c>
      <c r="C80" s="57" t="inlineStr">
        <is>
          <t>Consider</t>
        </is>
      </c>
    </row>
    <row r="81" ht="20" customHeight="1">
      <c r="B81" s="63" t="inlineStr">
        <is>
          <t>50–64</t>
        </is>
      </c>
      <c r="C81" s="57" t="inlineStr">
        <is>
          <t>Hold</t>
        </is>
      </c>
    </row>
    <row r="82" ht="20" customHeight="1">
      <c r="B82" s="63" t="inlineStr">
        <is>
          <t>&lt; 50</t>
        </is>
      </c>
      <c r="C82" s="57" t="inlineStr">
        <is>
          <t>Decline</t>
        </is>
      </c>
    </row>
    <row r="83" ht="20" customHeight="1">
      <c r="B83" s="63" t="inlineStr">
        <is>
          <t>Conditional</t>
        </is>
      </c>
      <c r="C83" s="57" t="inlineStr">
        <is>
          <t>Shown whenever the integration is not yet live, whatever the total</t>
        </is>
      </c>
    </row>
    <row r="85">
      <c r="B85" s="64" t="inlineStr">
        <is>
          <t>Scorecard v3.0  ·  questionnaire form_version 2026-08-19</t>
        </is>
      </c>
    </row>
  </sheetData>
  <mergeCells count="60">
    <mergeCell ref="C83:D83"/>
    <mergeCell ref="C34:D34"/>
    <mergeCell ref="C30:D30"/>
    <mergeCell ref="C62:D62"/>
    <mergeCell ref="C68:D68"/>
    <mergeCell ref="B23:D23"/>
    <mergeCell ref="B57:D57"/>
    <mergeCell ref="B8:D8"/>
    <mergeCell ref="C42:D42"/>
    <mergeCell ref="C58:D58"/>
    <mergeCell ref="B73:D73"/>
    <mergeCell ref="C45:D45"/>
    <mergeCell ref="C74:D74"/>
    <mergeCell ref="B78:D78"/>
    <mergeCell ref="C26:D26"/>
    <mergeCell ref="C79:D79"/>
    <mergeCell ref="C35:D35"/>
    <mergeCell ref="B19:D19"/>
    <mergeCell ref="C29:D29"/>
    <mergeCell ref="C69:D69"/>
    <mergeCell ref="C54:D54"/>
    <mergeCell ref="C25:D25"/>
    <mergeCell ref="B49:D49"/>
    <mergeCell ref="B40:D40"/>
    <mergeCell ref="C50:D50"/>
    <mergeCell ref="C44:D44"/>
    <mergeCell ref="C75:D75"/>
    <mergeCell ref="B65:D65"/>
    <mergeCell ref="C80:D80"/>
    <mergeCell ref="B24:D24"/>
    <mergeCell ref="B20:D20"/>
    <mergeCell ref="C59:D59"/>
    <mergeCell ref="B33:D33"/>
    <mergeCell ref="C43:D43"/>
    <mergeCell ref="B64:D64"/>
    <mergeCell ref="C46:D46"/>
    <mergeCell ref="C60:D60"/>
    <mergeCell ref="B41:D41"/>
    <mergeCell ref="C51:D51"/>
    <mergeCell ref="C27:D27"/>
    <mergeCell ref="B4:D4"/>
    <mergeCell ref="B32:D32"/>
    <mergeCell ref="C76:D76"/>
    <mergeCell ref="C36:D36"/>
    <mergeCell ref="C61:D61"/>
    <mergeCell ref="C52:D52"/>
    <mergeCell ref="C70:D70"/>
    <mergeCell ref="B7:D7"/>
    <mergeCell ref="C38:D38"/>
    <mergeCell ref="C82:D82"/>
    <mergeCell ref="C67:D67"/>
    <mergeCell ref="B71:D71"/>
    <mergeCell ref="C81:D81"/>
    <mergeCell ref="C37:D37"/>
    <mergeCell ref="B56:D56"/>
    <mergeCell ref="C28:D28"/>
    <mergeCell ref="C66:D66"/>
    <mergeCell ref="B21:D21"/>
    <mergeCell ref="C53:D53"/>
    <mergeCell ref="B48:D48"/>
  </mergeCells>
  <pageMargins left="0.75" right="0.75" top="1" bottom="1" header="0.5" footer="0.5"/>
</worksheet>
</file>

<file path=xl/worksheets/sheet4.xml><?xml version="1.0" encoding="utf-8"?>
<worksheet xmlns="http://schemas.openxmlformats.org/spreadsheetml/2006/main">
  <sheetPr>
    <tabColor rgb="00792E2E"/>
    <outlinePr summaryBelow="1" summaryRight="1"/>
    <pageSetUpPr/>
  </sheetPr>
  <dimension ref="B2:W35"/>
  <sheetViews>
    <sheetView showGridLines="0" tabSelected="0" zoomScale="10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 width="34" customWidth="1" min="21" max="21"/>
    <col width="34" customWidth="1" min="22" max="22"/>
    <col width="34" customWidth="1" min="23" max="23"/>
  </cols>
  <sheetData>
    <row r="2" ht="22" customHeight="1">
      <c r="B2" s="65" t="inlineStr">
        <is>
          <t>Questions</t>
        </is>
      </c>
      <c r="D2" s="66" t="inlineStr">
        <is>
          <t>COMPASSUS  ·  CAPACITY &amp; SCHEDULING</t>
        </is>
      </c>
    </row>
    <row r="3">
      <c r="B3" s="49" t="inlineStr">
        <is>
          <t>What we make each vendor prove at the demo. Three per section, written as the return is scored, so a gap lands next to the question that exposed it.</t>
        </is>
      </c>
    </row>
    <row r="5" ht="34" customHeight="1">
      <c r="B5" s="67" t="inlineStr">
        <is>
          <t>#</t>
        </is>
      </c>
      <c r="D5" s="68">
        <f>IF(Scorecard!G2="","Vendor 01",Scorecard!G2)</f>
        <v/>
      </c>
      <c r="E5" s="68">
        <f>IF(Scorecard!I2="","Vendor 02",Scorecard!I2)</f>
        <v/>
      </c>
      <c r="F5" s="68">
        <f>IF(Scorecard!K2="","Vendor 03",Scorecard!K2)</f>
        <v/>
      </c>
      <c r="G5" s="68">
        <f>IF(Scorecard!M2="","Vendor 04",Scorecard!M2)</f>
        <v/>
      </c>
      <c r="H5" s="68">
        <f>IF(Scorecard!O2="","Vendor 05",Scorecard!O2)</f>
        <v/>
      </c>
      <c r="I5" s="68">
        <f>IF(Scorecard!Q2="","Vendor 06",Scorecard!Q2)</f>
        <v/>
      </c>
      <c r="J5" s="68">
        <f>IF(Scorecard!S2="","Vendor 07",Scorecard!S2)</f>
        <v/>
      </c>
      <c r="K5" s="68">
        <f>IF(Scorecard!U2="","Vendor 08",Scorecard!U2)</f>
        <v/>
      </c>
      <c r="L5" s="68">
        <f>IF(Scorecard!W2="","Vendor 09",Scorecard!W2)</f>
        <v/>
      </c>
      <c r="M5" s="68">
        <f>IF(Scorecard!Y2="","Vendor 10",Scorecard!Y2)</f>
        <v/>
      </c>
      <c r="N5" s="68">
        <f>IF(Scorecard!AA2="","Vendor 11",Scorecard!AA2)</f>
        <v/>
      </c>
      <c r="O5" s="68">
        <f>IF(Scorecard!AC2="","Vendor 12",Scorecard!AC2)</f>
        <v/>
      </c>
      <c r="P5" s="68">
        <f>IF(Scorecard!AE2="","Vendor 13",Scorecard!AE2)</f>
        <v/>
      </c>
      <c r="Q5" s="68">
        <f>IF(Scorecard!AG2="","Vendor 14",Scorecard!AG2)</f>
        <v/>
      </c>
      <c r="R5" s="68">
        <f>IF(Scorecard!AI2="","Vendor 15",Scorecard!AI2)</f>
        <v/>
      </c>
      <c r="S5" s="68">
        <f>IF(Scorecard!AK2="","Vendor 16",Scorecard!AK2)</f>
        <v/>
      </c>
      <c r="T5" s="68" t="inlineStr">
        <is>
          <t>Vendor 17</t>
        </is>
      </c>
      <c r="U5" s="68" t="inlineStr">
        <is>
          <t>Vendor 18</t>
        </is>
      </c>
      <c r="V5" s="68" t="inlineStr">
        <is>
          <t>Vendor 19</t>
        </is>
      </c>
      <c r="W5" s="68" t="inlineStr">
        <is>
          <t>Vendor 20</t>
        </is>
      </c>
    </row>
    <row r="7" ht="21" customHeight="1">
      <c r="B7" s="26" t="inlineStr">
        <is>
          <t>A  ·  COMPANY AND PRODUCT      A1 integration · A2 scale and references · A3 measured impact</t>
        </is>
      </c>
    </row>
    <row r="8" ht="46" customHeight="1">
      <c r="B8" s="69" t="n">
        <v>1</v>
      </c>
      <c r="D8" s="70" t="n"/>
      <c r="E8" s="70" t="n"/>
      <c r="F8" s="70" t="n"/>
      <c r="G8" s="70" t="n"/>
      <c r="H8" s="70" t="n"/>
      <c r="I8" s="70" t="n"/>
      <c r="J8" s="70" t="n"/>
      <c r="K8" s="70" t="n"/>
      <c r="L8" s="70" t="n"/>
      <c r="M8" s="70" t="n"/>
      <c r="N8" s="70" t="n"/>
      <c r="O8" s="70" t="n"/>
      <c r="P8" s="70" t="n"/>
      <c r="Q8" s="70" t="n"/>
      <c r="R8" s="70" t="n"/>
      <c r="S8" s="70" t="n"/>
      <c r="T8" s="70" t="n"/>
      <c r="U8" s="70" t="n"/>
      <c r="V8" s="70" t="n"/>
      <c r="W8" s="70" t="n"/>
    </row>
    <row r="9" ht="46" customHeight="1">
      <c r="B9" s="69" t="n">
        <v>2</v>
      </c>
      <c r="D9" s="70" t="n"/>
      <c r="E9" s="70" t="n"/>
      <c r="F9" s="70" t="n"/>
      <c r="G9" s="70" t="n"/>
      <c r="H9" s="70" t="n"/>
      <c r="I9" s="70" t="n"/>
      <c r="J9" s="70" t="n"/>
      <c r="K9" s="70" t="n"/>
      <c r="L9" s="70" t="n"/>
      <c r="M9" s="70" t="n"/>
      <c r="N9" s="70" t="n"/>
      <c r="O9" s="70" t="n"/>
      <c r="P9" s="70" t="n"/>
      <c r="Q9" s="70" t="n"/>
      <c r="R9" s="70" t="n"/>
      <c r="S9" s="70" t="n"/>
      <c r="T9" s="70" t="n"/>
      <c r="U9" s="70" t="n"/>
      <c r="V9" s="70" t="n"/>
      <c r="W9" s="70" t="n"/>
    </row>
    <row r="10" ht="46" customHeight="1">
      <c r="B10" s="69" t="n">
        <v>3</v>
      </c>
      <c r="D10" s="70" t="n"/>
      <c r="E10" s="70" t="n"/>
      <c r="F10" s="70" t="n"/>
      <c r="G10" s="70" t="n"/>
      <c r="H10" s="70" t="n"/>
      <c r="I10" s="70" t="n"/>
      <c r="J10" s="70" t="n"/>
      <c r="K10" s="70" t="n"/>
      <c r="L10" s="70" t="n"/>
      <c r="M10" s="70" t="n"/>
      <c r="N10" s="70" t="n"/>
      <c r="O10" s="70" t="n"/>
      <c r="P10" s="70" t="n"/>
      <c r="Q10" s="70" t="n"/>
      <c r="R10" s="70" t="n"/>
      <c r="S10" s="70" t="n"/>
      <c r="T10" s="70" t="n"/>
      <c r="U10" s="70" t="n"/>
      <c r="V10" s="70" t="n"/>
      <c r="W10" s="70" t="n"/>
    </row>
    <row r="12" ht="21" customHeight="1">
      <c r="B12" s="26" t="inlineStr">
        <is>
          <t>B  ·  COVERAGE SELF-ASSESSMENT      anything claimed in scope that Section C did not support</t>
        </is>
      </c>
    </row>
    <row r="13" ht="46" customHeight="1">
      <c r="B13" s="69" t="n">
        <v>1</v>
      </c>
      <c r="D13" s="70" t="n"/>
      <c r="E13" s="70" t="n"/>
      <c r="F13" s="70" t="n"/>
      <c r="G13" s="70" t="n"/>
      <c r="H13" s="70" t="n"/>
      <c r="I13" s="70" t="n"/>
      <c r="J13" s="70" t="n"/>
      <c r="K13" s="70" t="n"/>
      <c r="L13" s="70" t="n"/>
      <c r="M13" s="70" t="n"/>
      <c r="N13" s="70" t="n"/>
      <c r="O13" s="70" t="n"/>
      <c r="P13" s="70" t="n"/>
      <c r="Q13" s="70" t="n"/>
      <c r="R13" s="70" t="n"/>
      <c r="S13" s="70" t="n"/>
      <c r="T13" s="70" t="n"/>
      <c r="U13" s="70" t="n"/>
      <c r="V13" s="70" t="n"/>
      <c r="W13" s="70" t="n"/>
    </row>
    <row r="14" ht="46" customHeight="1">
      <c r="B14" s="69" t="n">
        <v>2</v>
      </c>
      <c r="D14" s="70" t="n"/>
      <c r="E14" s="70" t="n"/>
      <c r="F14" s="70" t="n"/>
      <c r="G14" s="70" t="n"/>
      <c r="H14" s="70" t="n"/>
      <c r="I14" s="70" t="n"/>
      <c r="J14" s="70" t="n"/>
      <c r="K14" s="70" t="n"/>
      <c r="L14" s="70" t="n"/>
      <c r="M14" s="70" t="n"/>
      <c r="N14" s="70" t="n"/>
      <c r="O14" s="70" t="n"/>
      <c r="P14" s="70" t="n"/>
      <c r="Q14" s="70" t="n"/>
      <c r="R14" s="70" t="n"/>
      <c r="S14" s="70" t="n"/>
      <c r="T14" s="70" t="n"/>
      <c r="U14" s="70" t="n"/>
      <c r="V14" s="70" t="n"/>
      <c r="W14" s="70" t="n"/>
    </row>
    <row r="15" ht="46" customHeight="1">
      <c r="B15" s="69" t="n">
        <v>3</v>
      </c>
      <c r="D15" s="70" t="n"/>
      <c r="E15" s="70" t="n"/>
      <c r="F15" s="70" t="n"/>
      <c r="G15" s="70" t="n"/>
      <c r="H15" s="70" t="n"/>
      <c r="I15" s="70" t="n"/>
      <c r="J15" s="70" t="n"/>
      <c r="K15" s="70" t="n"/>
      <c r="L15" s="70" t="n"/>
      <c r="M15" s="70" t="n"/>
      <c r="N15" s="70" t="n"/>
      <c r="O15" s="70" t="n"/>
      <c r="P15" s="70" t="n"/>
      <c r="Q15" s="70" t="n"/>
      <c r="R15" s="70" t="n"/>
      <c r="S15" s="70" t="n"/>
      <c r="T15" s="70" t="n"/>
      <c r="U15" s="70" t="n"/>
      <c r="V15" s="70" t="n"/>
      <c r="W15" s="70" t="n"/>
    </row>
    <row r="17" ht="21" customHeight="1">
      <c r="B17" s="26" t="inlineStr">
        <is>
          <t>C  ·  HOW YOUR PRODUCT WORKS      C1 capacity · C2 assignment · C3 readiness · C4 the week · C5 recovery · C6 downtime · C7 the patient</t>
        </is>
      </c>
    </row>
    <row r="18" ht="46" customHeight="1">
      <c r="B18" s="69" t="n">
        <v>1</v>
      </c>
      <c r="D18" s="70" t="n"/>
      <c r="E18" s="70" t="n"/>
      <c r="F18" s="70" t="n"/>
      <c r="G18" s="70" t="n"/>
      <c r="H18" s="70" t="n"/>
      <c r="I18" s="70" t="n"/>
      <c r="J18" s="70" t="n"/>
      <c r="K18" s="70" t="n"/>
      <c r="L18" s="70" t="n"/>
      <c r="M18" s="70" t="n"/>
      <c r="N18" s="70" t="n"/>
      <c r="O18" s="70" t="n"/>
      <c r="P18" s="70" t="n"/>
      <c r="Q18" s="70" t="n"/>
      <c r="R18" s="70" t="n"/>
      <c r="S18" s="70" t="n"/>
      <c r="T18" s="70" t="n"/>
      <c r="U18" s="70" t="n"/>
      <c r="V18" s="70" t="n"/>
      <c r="W18" s="70" t="n"/>
    </row>
    <row r="19" ht="46" customHeight="1">
      <c r="B19" s="69" t="n">
        <v>2</v>
      </c>
      <c r="D19" s="70" t="n"/>
      <c r="E19" s="70" t="n"/>
      <c r="F19" s="70" t="n"/>
      <c r="G19" s="70" t="n"/>
      <c r="H19" s="70" t="n"/>
      <c r="I19" s="70" t="n"/>
      <c r="J19" s="70" t="n"/>
      <c r="K19" s="70" t="n"/>
      <c r="L19" s="70" t="n"/>
      <c r="M19" s="70" t="n"/>
      <c r="N19" s="70" t="n"/>
      <c r="O19" s="70" t="n"/>
      <c r="P19" s="70" t="n"/>
      <c r="Q19" s="70" t="n"/>
      <c r="R19" s="70" t="n"/>
      <c r="S19" s="70" t="n"/>
      <c r="T19" s="70" t="n"/>
      <c r="U19" s="70" t="n"/>
      <c r="V19" s="70" t="n"/>
      <c r="W19" s="70" t="n"/>
    </row>
    <row r="20" ht="46" customHeight="1">
      <c r="B20" s="69" t="n">
        <v>3</v>
      </c>
      <c r="D20" s="70" t="n"/>
      <c r="E20" s="70" t="n"/>
      <c r="F20" s="70" t="n"/>
      <c r="G20" s="70" t="n"/>
      <c r="H20" s="70" t="n"/>
      <c r="I20" s="70" t="n"/>
      <c r="J20" s="70" t="n"/>
      <c r="K20" s="70" t="n"/>
      <c r="L20" s="70" t="n"/>
      <c r="M20" s="70" t="n"/>
      <c r="N20" s="70" t="n"/>
      <c r="O20" s="70" t="n"/>
      <c r="P20" s="70" t="n"/>
      <c r="Q20" s="70" t="n"/>
      <c r="R20" s="70" t="n"/>
      <c r="S20" s="70" t="n"/>
      <c r="T20" s="70" t="n"/>
      <c r="U20" s="70" t="n"/>
      <c r="V20" s="70" t="n"/>
      <c r="W20" s="70" t="n"/>
    </row>
    <row r="22" ht="21" customHeight="1">
      <c r="B22" s="26" t="inlineStr">
        <is>
          <t>D  ·  THE CLINICIAN'S PLACE      D1 what they decide · D2 decide or advise · D3 adoption</t>
        </is>
      </c>
    </row>
    <row r="23" ht="46" customHeight="1">
      <c r="B23" s="69" t="n">
        <v>1</v>
      </c>
      <c r="D23" s="70" t="n"/>
      <c r="E23" s="70" t="n"/>
      <c r="F23" s="70" t="n"/>
      <c r="G23" s="70" t="n"/>
      <c r="H23" s="70" t="n"/>
      <c r="I23" s="70" t="n"/>
      <c r="J23" s="70" t="n"/>
      <c r="K23" s="70" t="n"/>
      <c r="L23" s="70" t="n"/>
      <c r="M23" s="70" t="n"/>
      <c r="N23" s="70" t="n"/>
      <c r="O23" s="70" t="n"/>
      <c r="P23" s="70" t="n"/>
      <c r="Q23" s="70" t="n"/>
      <c r="R23" s="70" t="n"/>
      <c r="S23" s="70" t="n"/>
      <c r="T23" s="70" t="n"/>
      <c r="U23" s="70" t="n"/>
      <c r="V23" s="70" t="n"/>
      <c r="W23" s="70" t="n"/>
    </row>
    <row r="24" ht="46" customHeight="1">
      <c r="B24" s="69" t="n">
        <v>2</v>
      </c>
      <c r="D24" s="70" t="n"/>
      <c r="E24" s="70" t="n"/>
      <c r="F24" s="70" t="n"/>
      <c r="G24" s="70" t="n"/>
      <c r="H24" s="70" t="n"/>
      <c r="I24" s="70" t="n"/>
      <c r="J24" s="70" t="n"/>
      <c r="K24" s="70" t="n"/>
      <c r="L24" s="70" t="n"/>
      <c r="M24" s="70" t="n"/>
      <c r="N24" s="70" t="n"/>
      <c r="O24" s="70" t="n"/>
      <c r="P24" s="70" t="n"/>
      <c r="Q24" s="70" t="n"/>
      <c r="R24" s="70" t="n"/>
      <c r="S24" s="70" t="n"/>
      <c r="T24" s="70" t="n"/>
      <c r="U24" s="70" t="n"/>
      <c r="V24" s="70" t="n"/>
      <c r="W24" s="70" t="n"/>
    </row>
    <row r="25" ht="46" customHeight="1">
      <c r="B25" s="69" t="n">
        <v>3</v>
      </c>
      <c r="D25" s="70" t="n"/>
      <c r="E25" s="70" t="n"/>
      <c r="F25" s="70" t="n"/>
      <c r="G25" s="70" t="n"/>
      <c r="H25" s="70" t="n"/>
      <c r="I25" s="70" t="n"/>
      <c r="J25" s="70" t="n"/>
      <c r="K25" s="70" t="n"/>
      <c r="L25" s="70" t="n"/>
      <c r="M25" s="70" t="n"/>
      <c r="N25" s="70" t="n"/>
      <c r="O25" s="70" t="n"/>
      <c r="P25" s="70" t="n"/>
      <c r="Q25" s="70" t="n"/>
      <c r="R25" s="70" t="n"/>
      <c r="S25" s="70" t="n"/>
      <c r="T25" s="70" t="n"/>
      <c r="U25" s="70" t="n"/>
      <c r="V25" s="70" t="n"/>
      <c r="W25" s="70" t="n"/>
    </row>
    <row r="27" ht="21" customHeight="1">
      <c r="B27" s="26" t="inlineStr">
        <is>
          <t>E  ·  FIT AND PARTNERSHIP      E1 what we did not ask · E2 sharing the value · E3 change management · E4 what they chose not to build</t>
        </is>
      </c>
    </row>
    <row r="28" ht="46" customHeight="1">
      <c r="B28" s="69" t="n">
        <v>1</v>
      </c>
      <c r="D28" s="70" t="n"/>
      <c r="E28" s="70" t="n"/>
      <c r="F28" s="70" t="n"/>
      <c r="G28" s="70" t="n"/>
      <c r="H28" s="70" t="n"/>
      <c r="I28" s="70" t="n"/>
      <c r="J28" s="70" t="n"/>
      <c r="K28" s="70" t="n"/>
      <c r="L28" s="70" t="n"/>
      <c r="M28" s="70" t="n"/>
      <c r="N28" s="70" t="n"/>
      <c r="O28" s="70" t="n"/>
      <c r="P28" s="70" t="n"/>
      <c r="Q28" s="70" t="n"/>
      <c r="R28" s="70" t="n"/>
      <c r="S28" s="70" t="n"/>
      <c r="T28" s="70" t="n"/>
      <c r="U28" s="70" t="n"/>
      <c r="V28" s="70" t="n"/>
      <c r="W28" s="70" t="n"/>
    </row>
    <row r="29" ht="46" customHeight="1">
      <c r="B29" s="69" t="n">
        <v>2</v>
      </c>
      <c r="D29" s="70" t="n"/>
      <c r="E29" s="70" t="n"/>
      <c r="F29" s="70" t="n"/>
      <c r="G29" s="70" t="n"/>
      <c r="H29" s="70" t="n"/>
      <c r="I29" s="70" t="n"/>
      <c r="J29" s="70" t="n"/>
      <c r="K29" s="70" t="n"/>
      <c r="L29" s="70" t="n"/>
      <c r="M29" s="70" t="n"/>
      <c r="N29" s="70" t="n"/>
      <c r="O29" s="70" t="n"/>
      <c r="P29" s="70" t="n"/>
      <c r="Q29" s="70" t="n"/>
      <c r="R29" s="70" t="n"/>
      <c r="S29" s="70" t="n"/>
      <c r="T29" s="70" t="n"/>
      <c r="U29" s="70" t="n"/>
      <c r="V29" s="70" t="n"/>
      <c r="W29" s="70" t="n"/>
    </row>
    <row r="30" ht="46" customHeight="1">
      <c r="B30" s="69" t="n">
        <v>3</v>
      </c>
      <c r="D30" s="70" t="n"/>
      <c r="E30" s="70" t="n"/>
      <c r="F30" s="70" t="n"/>
      <c r="G30" s="70" t="n"/>
      <c r="H30" s="70" t="n"/>
      <c r="I30" s="70" t="n"/>
      <c r="J30" s="70" t="n"/>
      <c r="K30" s="70" t="n"/>
      <c r="L30" s="70" t="n"/>
      <c r="M30" s="70" t="n"/>
      <c r="N30" s="70" t="n"/>
      <c r="O30" s="70" t="n"/>
      <c r="P30" s="70" t="n"/>
      <c r="Q30" s="70" t="n"/>
      <c r="R30" s="70" t="n"/>
      <c r="S30" s="70" t="n"/>
      <c r="T30" s="70" t="n"/>
      <c r="U30" s="70" t="n"/>
      <c r="V30" s="70" t="n"/>
      <c r="W30" s="70" t="n"/>
    </row>
    <row r="32" ht="21" customHeight="1">
      <c r="B32" s="26" t="inlineStr">
        <is>
          <t>INTANGIBLES      anything the feel section raised that a demo could settle</t>
        </is>
      </c>
    </row>
    <row r="33" ht="46" customHeight="1">
      <c r="B33" s="69" t="n">
        <v>1</v>
      </c>
      <c r="D33" s="70" t="n"/>
      <c r="E33" s="70" t="n"/>
      <c r="F33" s="70" t="n"/>
      <c r="G33" s="70" t="n"/>
      <c r="H33" s="70" t="n"/>
      <c r="I33" s="70" t="n"/>
      <c r="J33" s="70" t="n"/>
      <c r="K33" s="70" t="n"/>
      <c r="L33" s="70" t="n"/>
      <c r="M33" s="70" t="n"/>
      <c r="N33" s="70" t="n"/>
      <c r="O33" s="70" t="n"/>
      <c r="P33" s="70" t="n"/>
      <c r="Q33" s="70" t="n"/>
      <c r="R33" s="70" t="n"/>
      <c r="S33" s="70" t="n"/>
      <c r="T33" s="70" t="n"/>
      <c r="U33" s="70" t="n"/>
      <c r="V33" s="70" t="n"/>
      <c r="W33" s="70" t="n"/>
    </row>
    <row r="34" ht="46" customHeight="1">
      <c r="B34" s="69" t="n">
        <v>2</v>
      </c>
      <c r="D34" s="70" t="n"/>
      <c r="E34" s="70" t="n"/>
      <c r="F34" s="70" t="n"/>
      <c r="G34" s="70" t="n"/>
      <c r="H34" s="70" t="n"/>
      <c r="I34" s="70" t="n"/>
      <c r="J34" s="70" t="n"/>
      <c r="K34" s="70" t="n"/>
      <c r="L34" s="70" t="n"/>
      <c r="M34" s="70" t="n"/>
      <c r="N34" s="70" t="n"/>
      <c r="O34" s="70" t="n"/>
      <c r="P34" s="70" t="n"/>
      <c r="Q34" s="70" t="n"/>
      <c r="R34" s="70" t="n"/>
      <c r="S34" s="70" t="n"/>
      <c r="T34" s="70" t="n"/>
      <c r="U34" s="70" t="n"/>
      <c r="V34" s="70" t="n"/>
      <c r="W34" s="70" t="n"/>
    </row>
    <row r="35" ht="46" customHeight="1">
      <c r="B35" s="69" t="n">
        <v>3</v>
      </c>
      <c r="D35" s="70" t="n"/>
      <c r="E35" s="70" t="n"/>
      <c r="F35" s="70" t="n"/>
      <c r="G35" s="70" t="n"/>
      <c r="H35" s="70" t="n"/>
      <c r="I35" s="70" t="n"/>
      <c r="J35" s="70" t="n"/>
      <c r="K35" s="70" t="n"/>
      <c r="L35" s="70" t="n"/>
      <c r="M35" s="70" t="n"/>
      <c r="N35" s="70" t="n"/>
      <c r="O35" s="70" t="n"/>
      <c r="P35" s="70" t="n"/>
      <c r="Q35" s="70" t="n"/>
      <c r="R35" s="70" t="n"/>
      <c r="S35" s="70" t="n"/>
      <c r="T35" s="70" t="n"/>
      <c r="U35" s="70" t="n"/>
      <c r="V35" s="70" t="n"/>
      <c r="W35" s="70" t="n"/>
    </row>
  </sheetData>
  <mergeCells count="7">
    <mergeCell ref="B3:W3"/>
    <mergeCell ref="B27:W27"/>
    <mergeCell ref="B22:W22"/>
    <mergeCell ref="B32:W32"/>
    <mergeCell ref="B17:W17"/>
    <mergeCell ref="B12:W12"/>
    <mergeCell ref="B7:W7"/>
  </mergeCells>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sheetPr>
  <dimension ref="B1:K7"/>
  <sheetViews>
    <sheetView tabSelected="0" workbookViewId="0">
      <selection activeCell="A1" sqref="A1"/>
    </sheetView>
  </sheetViews>
  <sheetFormatPr baseColWidth="8" defaultRowHeight="15"/>
  <cols>
    <col width="52" customWidth="1" min="2" max="2"/>
    <col width="52" customWidth="1" min="5" max="5"/>
    <col width="52" customWidth="1" min="7" max="7"/>
    <col width="52" customWidth="1" min="9" max="9"/>
    <col width="52" customWidth="1" min="11" max="11"/>
  </cols>
  <sheetData>
    <row r="1">
      <c r="B1" s="54" t="inlineStr">
        <is>
          <t>A1 rung</t>
        </is>
      </c>
      <c r="C1" s="54" t="inlineStr">
        <is>
          <t>Points</t>
        </is>
      </c>
      <c r="E1" s="54" t="inlineStr">
        <is>
          <t>Scope</t>
        </is>
      </c>
      <c r="G1" s="54" t="inlineStr">
        <is>
          <t>Sophistication</t>
        </is>
      </c>
      <c r="I1" s="54" t="inlineStr">
        <is>
          <t>Clinician</t>
        </is>
      </c>
      <c r="K1" s="54" t="inlineStr">
        <is>
          <t>Partnership</t>
        </is>
      </c>
    </row>
    <row r="2">
      <c r="B2" t="inlineStr">
        <is>
          <t>Live — established customer base</t>
        </is>
      </c>
      <c r="C2" t="n">
        <v>20</v>
      </c>
      <c r="E2" t="inlineStr">
        <is>
          <t>0 — Nothing here</t>
        </is>
      </c>
      <c r="G2" t="inlineStr">
        <is>
          <t>0 — Not addressed</t>
        </is>
      </c>
      <c r="I2" t="inlineStr">
        <is>
          <t>0 — Not answered</t>
        </is>
      </c>
      <c r="K2" t="inlineStr">
        <is>
          <t>0 — Not answered</t>
        </is>
      </c>
    </row>
    <row r="3">
      <c r="B3" t="inlineStr">
        <is>
          <t>Live — small customer base</t>
        </is>
      </c>
      <c r="C3" t="n">
        <v>16</v>
      </c>
      <c r="E3" t="inlineStr">
        <is>
          <t>1 — A corner of it</t>
        </is>
      </c>
      <c r="G3" t="inlineStr">
        <is>
          <t>1 — Shows it</t>
        </is>
      </c>
      <c r="I3" t="inlineStr">
        <is>
          <t>1 — Poor fit</t>
        </is>
      </c>
      <c r="K3" t="inlineStr">
        <is>
          <t>1 — Standard customer relationship</t>
        </is>
      </c>
    </row>
    <row r="4">
      <c r="B4" t="inlineStr">
        <is>
          <t>Live — through a partner</t>
        </is>
      </c>
      <c r="C4" t="n">
        <v>12</v>
      </c>
      <c r="E4" t="inlineStr">
        <is>
          <t>2 — About half</t>
        </is>
      </c>
      <c r="G4" t="inlineStr">
        <is>
          <t>2 — Checks it</t>
        </is>
      </c>
      <c r="I4" t="inlineStr">
        <is>
          <t>2 — Workable</t>
        </is>
      </c>
      <c r="K4" t="inlineStr">
        <is>
          <t>2 — Takes our input; they own the roadmap</t>
        </is>
      </c>
    </row>
    <row r="5">
      <c r="B5" t="inlineStr">
        <is>
          <t>In development — with a date</t>
        </is>
      </c>
      <c r="C5" t="n">
        <v>6</v>
      </c>
      <c r="E5" t="inlineStr">
        <is>
          <t>3 — More than half</t>
        </is>
      </c>
      <c r="G5" t="inlineStr">
        <is>
          <t>3 — Recommends it</t>
        </is>
      </c>
      <c r="I5" t="inlineStr">
        <is>
          <t>3 — Good fit</t>
        </is>
      </c>
      <c r="K5" t="inlineStr">
        <is>
          <t>3 — Builds to our needs; ownership unaddressed</t>
        </is>
      </c>
    </row>
    <row r="6">
      <c r="B6" t="inlineStr">
        <is>
          <t>On the roadmap — no date</t>
        </is>
      </c>
      <c r="C6" t="n">
        <v>2</v>
      </c>
      <c r="E6" t="inlineStr">
        <is>
          <t>4 — Most of it</t>
        </is>
      </c>
      <c r="G6" t="inlineStr">
        <is>
          <t>4 — Runs it</t>
        </is>
      </c>
      <c r="I6" t="inlineStr">
        <is>
          <t>4 — Strong fit</t>
        </is>
      </c>
      <c r="K6" t="inlineStr">
        <is>
          <t>4 — Open to equity, and set up to build with us</t>
        </is>
      </c>
    </row>
    <row r="7">
      <c r="B7" t="inlineStr">
        <is>
          <t>None, and no path to one</t>
        </is>
      </c>
      <c r="C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2026-09-04T03:06:31Z</dcterms:created>
  <dcterms:modified xsi:type="dcterms:W3CDTF">2026-09-04T03:06:32Z</dcterms:modified>
</cp:coreProperties>
</file>