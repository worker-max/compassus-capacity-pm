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Compare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Enter" sheetId="3" state="visible" r:id="rId3"/>
  </sheets>
  <definedNames>
    <definedName name="ScopeList">Lists!$A$1:$A$4</definedName>
    <definedName name="StatusList">Lists!$B$1:$B$5</definedName>
    <definedName name="DelivList">Lists!$C$1:$C$5</definedName>
    <definedName name="CapInList">Lists!$D$1:$D$6</definedName>
    <definedName name="HchbList">Lists!$E$1:$E$4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F2A37"/>
      <sz val="15"/>
    </font>
    <font>
      <name val="Calibri"/>
      <i val="1"/>
      <color rgb="FF5B6572"/>
      <sz val="10"/>
    </font>
    <font>
      <name val="Calibri"/>
      <b val="1"/>
      <color rgb="FFFFFFFF"/>
      <sz val="9"/>
    </font>
    <font>
      <name val="Calibri"/>
      <b val="1"/>
      <color rgb="FF1F3B57"/>
      <sz val="9"/>
    </font>
    <font>
      <name val="Calibri"/>
      <color rgb="FF1F2A37"/>
      <sz val="10"/>
    </font>
    <font>
      <name val="Calibri"/>
      <color rgb="FF5B6572"/>
      <sz val="7"/>
    </font>
    <font>
      <name val="Calibri"/>
      <b val="1"/>
      <color rgb="FF1F2A37"/>
      <sz val="10"/>
    </font>
    <font>
      <name val="Calibri"/>
      <b val="1"/>
      <color rgb="FF1F3B57"/>
      <sz val="11"/>
    </font>
  </fonts>
  <fills count="5">
    <fill>
      <patternFill/>
    </fill>
    <fill>
      <patternFill patternType="gray125"/>
    </fill>
    <fill>
      <patternFill patternType="solid">
        <fgColor rgb="FF1F3B57"/>
      </patternFill>
    </fill>
    <fill>
      <patternFill patternType="solid">
        <fgColor rgb="FF3E5A78"/>
      </patternFill>
    </fill>
    <fill>
      <patternFill patternType="solid">
        <fgColor rgb="FFFDFBF3"/>
      </patternFill>
    </fill>
  </fills>
  <borders count="3">
    <border>
      <left/>
      <right/>
      <top/>
      <bottom/>
      <diagonal/>
    </border>
    <border>
      <left style="thin">
        <color rgb="FFC7B37A"/>
      </left>
      <right style="thin">
        <color rgb="FFC7B37A"/>
      </right>
      <top style="thin">
        <color rgb="FFC7B37A"/>
      </top>
      <bottom style="thin">
        <color rgb="FFC7B37A"/>
      </bottom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bottom" textRotation="90"/>
    </xf>
    <xf numFmtId="0" fontId="5" fillId="0" borderId="2" applyAlignment="1" pivotButton="0" quotePrefix="0" xfId="0">
      <alignment vertical="top" wrapText="1"/>
    </xf>
    <xf numFmtId="0" fontId="5" fillId="0" borderId="2" pivotButton="0" quotePrefix="0" xfId="0"/>
    <xf numFmtId="0" fontId="7" fillId="0" borderId="2" applyAlignment="1" pivotButton="0" quotePrefix="0" xfId="0">
      <alignment horizontal="center"/>
    </xf>
    <xf numFmtId="1" fontId="8" fillId="0" borderId="2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bgColor rgb="FFF6D2D2"/>
        </patternFill>
      </fill>
    </dxf>
    <dxf>
      <fill>
        <patternFill patternType="solid">
          <bgColor rgb="FFD8E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C6A55"/>
    <outlinePr summaryBelow="1" summaryRight="1"/>
    <pageSetUpPr fitToPage="1"/>
  </sheetPr>
  <dimension ref="A1:AR1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9" customWidth="1" min="3" max="3"/>
    <col width="11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7" customWidth="1" min="16" max="16"/>
    <col width="26" customWidth="1" min="17" max="17"/>
    <col width="30" customWidth="1" min="18" max="18"/>
    <col width="34" customWidth="1" min="19" max="19"/>
    <col width="34" customWidth="1" min="20" max="20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 ht="22" customHeight="1">
      <c r="A1" s="1" t="inlineStr">
        <is>
          <t>Vendor comparison</t>
        </is>
      </c>
    </row>
    <row r="2" ht="86" customHeight="1">
      <c r="A2" s="2" t="inlineStr">
        <is>
          <t>Computed from the Enter tab. Sort by HCHB, then scale, then total. The named columns carry the meaning — the total is a tiebreaker, not a ranking.</t>
        </is>
      </c>
      <c r="E2" s="8" t="inlineStr">
        <is>
          <t>Workforce supply</t>
        </is>
      </c>
      <c r="F2" s="8" t="inlineStr">
        <is>
          <t>Availability &amp; reach</t>
        </is>
      </c>
      <c r="G2" s="8" t="inlineStr">
        <is>
          <t>The capacity math</t>
        </is>
      </c>
      <c r="H2" s="8" t="inlineStr">
        <is>
          <t>Demand</t>
        </is>
      </c>
      <c r="I2" s="8" t="inlineStr">
        <is>
          <t>Matching</t>
        </is>
      </c>
      <c r="J2" s="8" t="inlineStr">
        <is>
          <t>Routing &amp; the week</t>
        </is>
      </c>
      <c r="K2" s="8" t="inlineStr">
        <is>
          <t>Exceptions</t>
        </is>
      </c>
      <c r="L2" s="8" t="inlineStr">
        <is>
          <t>Before the visit</t>
        </is>
      </c>
      <c r="M2" s="8" t="inlineStr">
        <is>
          <t>When plans change</t>
        </is>
      </c>
      <c r="N2" s="8" t="inlineStr">
        <is>
          <t>Incentives &amp; offers</t>
        </is>
      </c>
      <c r="O2" s="8" t="inlineStr">
        <is>
          <t>Across the care team</t>
        </is>
      </c>
    </row>
    <row r="3" ht="18" customHeight="1">
      <c r="A3" s="4" t="inlineStr">
        <is>
          <t>VENDOR</t>
        </is>
      </c>
      <c r="B3" s="4" t="inlineStr">
        <is>
          <t>HCHB</t>
        </is>
      </c>
      <c r="C3" s="4" t="inlineStr">
        <is>
          <t>CUST</t>
        </is>
      </c>
      <c r="D3" s="4" t="inlineStr">
        <is>
          <t>CENSUS</t>
        </is>
      </c>
      <c r="E3" s="5" t="n">
        <v>1</v>
      </c>
      <c r="F3" s="5" t="n">
        <v>2</v>
      </c>
      <c r="G3" s="5" t="n">
        <v>3</v>
      </c>
      <c r="H3" s="5" t="n">
        <v>4</v>
      </c>
      <c r="I3" s="5" t="n">
        <v>5</v>
      </c>
      <c r="J3" s="5" t="n">
        <v>6</v>
      </c>
      <c r="K3" s="5" t="n">
        <v>7</v>
      </c>
      <c r="L3" s="5" t="n">
        <v>8</v>
      </c>
      <c r="M3" s="5" t="n">
        <v>9</v>
      </c>
      <c r="N3" s="5" t="n">
        <v>10</v>
      </c>
      <c r="O3" s="5" t="n">
        <v>11</v>
      </c>
      <c r="P3" s="4" t="inlineStr">
        <is>
          <t>/22</t>
        </is>
      </c>
      <c r="Q3" s="4" t="inlineStr">
        <is>
          <t>COVERAGE</t>
        </is>
      </c>
      <c r="R3" s="4" t="inlineStr">
        <is>
          <t>NOT IN SCOPE</t>
        </is>
      </c>
      <c r="S3" s="4" t="inlineStr">
        <is>
          <t>AUTOMATION FLAGS</t>
        </is>
      </c>
      <c r="T3" s="4" t="inlineStr">
        <is>
          <t>WHAT THEY ARE</t>
        </is>
      </c>
    </row>
    <row r="4" ht="34" customHeight="1">
      <c r="A4" s="9">
        <f>IF(Enter!A4="","",Enter!A4)</f>
        <v/>
      </c>
      <c r="B4" s="10">
        <f>IF(Enter!A4="","",Enter!B4)</f>
        <v/>
      </c>
      <c r="C4" s="10">
        <f>IF(Enter!A4="","",Enter!C4)</f>
        <v/>
      </c>
      <c r="D4" s="10">
        <f>IF(Enter!A4="","",Enter!D4)</f>
        <v/>
      </c>
      <c r="E4" s="11">
        <f>IF(Enter!A4="","",IF(OR(Enter!E4="No",Enter!E4=""),0,IF(AND(Enter!E4="Yes",OR(Enter!F4="Production — multiple customers",Enter!F4="Production — one customer")),2,1)))</f>
        <v/>
      </c>
      <c r="F4" s="11">
        <f>IF(Enter!A4="","",IF(OR(Enter!H4="No",Enter!H4=""),0,IF(AND(Enter!H4="Yes",OR(Enter!I4="Production — multiple customers",Enter!I4="Production — one customer")),2,1)))</f>
        <v/>
      </c>
      <c r="G4" s="11">
        <f>IF(Enter!A4="","",IF(OR(Enter!K4="No",Enter!K4=""),0,IF(AND(Enter!K4="Yes",OR(Enter!L4="Production — multiple customers",Enter!L4="Production — one customer")),2,1)))</f>
        <v/>
      </c>
      <c r="H4" s="11">
        <f>IF(Enter!A4="","",IF(OR(Enter!N4="No",Enter!N4=""),0,IF(AND(Enter!N4="Yes",OR(Enter!O4="Production — multiple customers",Enter!O4="Production — one customer")),2,1)))</f>
        <v/>
      </c>
      <c r="I4" s="11">
        <f>IF(Enter!A4="","",IF(OR(Enter!Q4="No",Enter!Q4=""),0,IF(AND(Enter!Q4="Yes",OR(Enter!R4="Production — multiple customers",Enter!R4="Production — one customer")),2,1)))</f>
        <v/>
      </c>
      <c r="J4" s="11">
        <f>IF(Enter!A4="","",IF(OR(Enter!T4="No",Enter!T4=""),0,IF(AND(Enter!T4="Yes",OR(Enter!U4="Production — multiple customers",Enter!U4="Production — one customer")),2,1)))</f>
        <v/>
      </c>
      <c r="K4" s="11">
        <f>IF(Enter!A4="","",IF(OR(Enter!W4="No",Enter!W4=""),0,IF(AND(Enter!W4="Yes",OR(Enter!X4="Production — multiple customers",Enter!X4="Production — one customer")),2,1)))</f>
        <v/>
      </c>
      <c r="L4" s="11">
        <f>IF(Enter!A4="","",IF(OR(Enter!Z4="No",Enter!Z4=""),0,IF(AND(Enter!Z4="Yes",OR(Enter!AA4="Production — multiple customers",Enter!AA4="Production — one customer")),2,1)))</f>
        <v/>
      </c>
      <c r="M4" s="11">
        <f>IF(Enter!A4="","",IF(OR(Enter!AC4="No",Enter!AC4=""),0,IF(AND(Enter!AC4="Yes",OR(Enter!AD4="Production — multiple customers",Enter!AD4="Production — one customer")),2,1)))</f>
        <v/>
      </c>
      <c r="N4" s="11">
        <f>IF(Enter!A4="","",IF(OR(Enter!AF4="No",Enter!AF4=""),0,IF(AND(Enter!AF4="Yes",OR(Enter!AG4="Production — multiple customers",Enter!AG4="Production — one customer")),2,1)))</f>
        <v/>
      </c>
      <c r="O4" s="11">
        <f>IF(Enter!A4="","",IF(OR(Enter!AI4="No",Enter!AI4=""),0,IF(AND(Enter!AI4="Yes",OR(Enter!AJ4="Production — multiple customers",Enter!AJ4="Production — one customer")),2,1)))</f>
        <v/>
      </c>
      <c r="P4" s="12">
        <f>IF(Enter!A4="","",SUM(E4:O4))</f>
        <v/>
      </c>
      <c r="Q4" s="10">
        <f>IF(Enter!A4="","",TEXTJOIN(" ",TRUE,E4:O4))</f>
        <v/>
      </c>
      <c r="R4" s="9">
        <f>IF(Enter!A4="","",IF(LEN(CONCAT(V4:AF4))=0,"—",LEFT(CONCAT(V4:AF4),LEN(CONCAT(V4:AF4))-2)))</f>
        <v/>
      </c>
      <c r="S4" s="9">
        <f>IF(Enter!A4="","",IF(LEN(CONCAT(AH4:AR4))=0,"—",LEFT(CONCAT(AH4:AR4),LEN(CONCAT(AH4:AR4))-2)))</f>
        <v/>
      </c>
      <c r="T4" s="9">
        <f>IF(Enter!A4="","",Enter!AO4)</f>
        <v/>
      </c>
      <c r="V4">
        <f>IF(AND(Enter!A4&lt;&gt;"",E4=0),"Workforce supply, ","")</f>
        <v/>
      </c>
      <c r="W4">
        <f>IF(AND(Enter!A4&lt;&gt;"",F4=0),"Availability &amp; reach, ","")</f>
        <v/>
      </c>
      <c r="X4">
        <f>IF(AND(Enter!A4&lt;&gt;"",G4=0),"The capacity math, ","")</f>
        <v/>
      </c>
      <c r="Y4">
        <f>IF(AND(Enter!A4&lt;&gt;"",H4=0),"Demand, ","")</f>
        <v/>
      </c>
      <c r="Z4">
        <f>IF(AND(Enter!A4&lt;&gt;"",I4=0),"Matching, ","")</f>
        <v/>
      </c>
      <c r="AA4">
        <f>IF(AND(Enter!A4&lt;&gt;"",J4=0),"Routing &amp; the week, ","")</f>
        <v/>
      </c>
      <c r="AB4">
        <f>IF(AND(Enter!A4&lt;&gt;"",K4=0),"Exceptions, ","")</f>
        <v/>
      </c>
      <c r="AC4">
        <f>IF(AND(Enter!A4&lt;&gt;"",L4=0),"Before the visit, ","")</f>
        <v/>
      </c>
      <c r="AD4">
        <f>IF(AND(Enter!A4&lt;&gt;"",M4=0),"When plans change, ","")</f>
        <v/>
      </c>
      <c r="AE4">
        <f>IF(AND(Enter!A4&lt;&gt;"",N4=0),"Incentives &amp; offers, ","")</f>
        <v/>
      </c>
      <c r="AF4">
        <f>IF(AND(Enter!A4&lt;&gt;"",O4=0),"Across the care team, ","")</f>
        <v/>
      </c>
      <c r="AH4" t="inlineStr"/>
      <c r="AI4" t="inlineStr"/>
      <c r="AJ4" t="inlineStr"/>
      <c r="AK4" t="inlineStr"/>
      <c r="AL4">
        <f>IF(Enter!S4="Automated end to end","Matching, ","")</f>
        <v/>
      </c>
      <c r="AM4">
        <f>IF(Enter!V4="Automated end to end","Routing &amp; the week, ","")</f>
        <v/>
      </c>
      <c r="AN4">
        <f>IF(Enter!Y4="Automated end to end","Exceptions, ","")</f>
        <v/>
      </c>
      <c r="AO4" t="inlineStr"/>
      <c r="AP4">
        <f>IF(Enter!AE4="Automated end to end","When plans change, ","")</f>
        <v/>
      </c>
      <c r="AQ4">
        <f>IF(Enter!AH4="Automated end to end","Incentives &amp; offers, ","")</f>
        <v/>
      </c>
      <c r="AR4">
        <f>IF(Enter!AK4="Automated end to end","Across the care team, ","")</f>
        <v/>
      </c>
    </row>
    <row r="5" ht="34" customHeight="1">
      <c r="A5" s="9">
        <f>IF(Enter!A5="","",Enter!A5)</f>
        <v/>
      </c>
      <c r="B5" s="10">
        <f>IF(Enter!A5="","",Enter!B5)</f>
        <v/>
      </c>
      <c r="C5" s="10">
        <f>IF(Enter!A5="","",Enter!C5)</f>
        <v/>
      </c>
      <c r="D5" s="10">
        <f>IF(Enter!A5="","",Enter!D5)</f>
        <v/>
      </c>
      <c r="E5" s="11">
        <f>IF(Enter!A5="","",IF(OR(Enter!E5="No",Enter!E5=""),0,IF(AND(Enter!E5="Yes",OR(Enter!F5="Production — multiple customers",Enter!F5="Production — one customer")),2,1)))</f>
        <v/>
      </c>
      <c r="F5" s="11">
        <f>IF(Enter!A5="","",IF(OR(Enter!H5="No",Enter!H5=""),0,IF(AND(Enter!H5="Yes",OR(Enter!I5="Production — multiple customers",Enter!I5="Production — one customer")),2,1)))</f>
        <v/>
      </c>
      <c r="G5" s="11">
        <f>IF(Enter!A5="","",IF(OR(Enter!K5="No",Enter!K5=""),0,IF(AND(Enter!K5="Yes",OR(Enter!L5="Production — multiple customers",Enter!L5="Production — one customer")),2,1)))</f>
        <v/>
      </c>
      <c r="H5" s="11">
        <f>IF(Enter!A5="","",IF(OR(Enter!N5="No",Enter!N5=""),0,IF(AND(Enter!N5="Yes",OR(Enter!O5="Production — multiple customers",Enter!O5="Production — one customer")),2,1)))</f>
        <v/>
      </c>
      <c r="I5" s="11">
        <f>IF(Enter!A5="","",IF(OR(Enter!Q5="No",Enter!Q5=""),0,IF(AND(Enter!Q5="Yes",OR(Enter!R5="Production — multiple customers",Enter!R5="Production — one customer")),2,1)))</f>
        <v/>
      </c>
      <c r="J5" s="11">
        <f>IF(Enter!A5="","",IF(OR(Enter!T5="No",Enter!T5=""),0,IF(AND(Enter!T5="Yes",OR(Enter!U5="Production — multiple customers",Enter!U5="Production — one customer")),2,1)))</f>
        <v/>
      </c>
      <c r="K5" s="11">
        <f>IF(Enter!A5="","",IF(OR(Enter!W5="No",Enter!W5=""),0,IF(AND(Enter!W5="Yes",OR(Enter!X5="Production — multiple customers",Enter!X5="Production — one customer")),2,1)))</f>
        <v/>
      </c>
      <c r="L5" s="11">
        <f>IF(Enter!A5="","",IF(OR(Enter!Z5="No",Enter!Z5=""),0,IF(AND(Enter!Z5="Yes",OR(Enter!AA5="Production — multiple customers",Enter!AA5="Production — one customer")),2,1)))</f>
        <v/>
      </c>
      <c r="M5" s="11">
        <f>IF(Enter!A5="","",IF(OR(Enter!AC5="No",Enter!AC5=""),0,IF(AND(Enter!AC5="Yes",OR(Enter!AD5="Production — multiple customers",Enter!AD5="Production — one customer")),2,1)))</f>
        <v/>
      </c>
      <c r="N5" s="11">
        <f>IF(Enter!A5="","",IF(OR(Enter!AF5="No",Enter!AF5=""),0,IF(AND(Enter!AF5="Yes",OR(Enter!AG5="Production — multiple customers",Enter!AG5="Production — one customer")),2,1)))</f>
        <v/>
      </c>
      <c r="O5" s="11">
        <f>IF(Enter!A5="","",IF(OR(Enter!AI5="No",Enter!AI5=""),0,IF(AND(Enter!AI5="Yes",OR(Enter!AJ5="Production — multiple customers",Enter!AJ5="Production — one customer")),2,1)))</f>
        <v/>
      </c>
      <c r="P5" s="12">
        <f>IF(Enter!A5="","",SUM(E5:O5))</f>
        <v/>
      </c>
      <c r="Q5" s="10">
        <f>IF(Enter!A5="","",TEXTJOIN(" ",TRUE,E5:O5))</f>
        <v/>
      </c>
      <c r="R5" s="9">
        <f>IF(Enter!A5="","",IF(LEN(CONCAT(V5:AF5))=0,"—",LEFT(CONCAT(V5:AF5),LEN(CONCAT(V5:AF5))-2)))</f>
        <v/>
      </c>
      <c r="S5" s="9">
        <f>IF(Enter!A5="","",IF(LEN(CONCAT(AH5:AR5))=0,"—",LEFT(CONCAT(AH5:AR5),LEN(CONCAT(AH5:AR5))-2)))</f>
        <v/>
      </c>
      <c r="T5" s="9">
        <f>IF(Enter!A5="","",Enter!AO5)</f>
        <v/>
      </c>
      <c r="V5">
        <f>IF(AND(Enter!A5&lt;&gt;"",E5=0),"Workforce supply, ","")</f>
        <v/>
      </c>
      <c r="W5">
        <f>IF(AND(Enter!A5&lt;&gt;"",F5=0),"Availability &amp; reach, ","")</f>
        <v/>
      </c>
      <c r="X5">
        <f>IF(AND(Enter!A5&lt;&gt;"",G5=0),"The capacity math, ","")</f>
        <v/>
      </c>
      <c r="Y5">
        <f>IF(AND(Enter!A5&lt;&gt;"",H5=0),"Demand, ","")</f>
        <v/>
      </c>
      <c r="Z5">
        <f>IF(AND(Enter!A5&lt;&gt;"",I5=0),"Matching, ","")</f>
        <v/>
      </c>
      <c r="AA5">
        <f>IF(AND(Enter!A5&lt;&gt;"",J5=0),"Routing &amp; the week, ","")</f>
        <v/>
      </c>
      <c r="AB5">
        <f>IF(AND(Enter!A5&lt;&gt;"",K5=0),"Exceptions, ","")</f>
        <v/>
      </c>
      <c r="AC5">
        <f>IF(AND(Enter!A5&lt;&gt;"",L5=0),"Before the visit, ","")</f>
        <v/>
      </c>
      <c r="AD5">
        <f>IF(AND(Enter!A5&lt;&gt;"",M5=0),"When plans change, ","")</f>
        <v/>
      </c>
      <c r="AE5">
        <f>IF(AND(Enter!A5&lt;&gt;"",N5=0),"Incentives &amp; offers, ","")</f>
        <v/>
      </c>
      <c r="AF5">
        <f>IF(AND(Enter!A5&lt;&gt;"",O5=0),"Across the care team, ","")</f>
        <v/>
      </c>
      <c r="AH5" t="inlineStr"/>
      <c r="AI5" t="inlineStr"/>
      <c r="AJ5" t="inlineStr"/>
      <c r="AK5" t="inlineStr"/>
      <c r="AL5">
        <f>IF(Enter!S5="Automated end to end","Matching, ","")</f>
        <v/>
      </c>
      <c r="AM5">
        <f>IF(Enter!V5="Automated end to end","Routing &amp; the week, ","")</f>
        <v/>
      </c>
      <c r="AN5">
        <f>IF(Enter!Y5="Automated end to end","Exceptions, ","")</f>
        <v/>
      </c>
      <c r="AO5" t="inlineStr"/>
      <c r="AP5">
        <f>IF(Enter!AE5="Automated end to end","When plans change, ","")</f>
        <v/>
      </c>
      <c r="AQ5">
        <f>IF(Enter!AH5="Automated end to end","Incentives &amp; offers, ","")</f>
        <v/>
      </c>
      <c r="AR5">
        <f>IF(Enter!AK5="Automated end to end","Across the care team, ","")</f>
        <v/>
      </c>
    </row>
    <row r="6" ht="34" customHeight="1">
      <c r="A6" s="9">
        <f>IF(Enter!A6="","",Enter!A6)</f>
        <v/>
      </c>
      <c r="B6" s="10">
        <f>IF(Enter!A6="","",Enter!B6)</f>
        <v/>
      </c>
      <c r="C6" s="10">
        <f>IF(Enter!A6="","",Enter!C6)</f>
        <v/>
      </c>
      <c r="D6" s="10">
        <f>IF(Enter!A6="","",Enter!D6)</f>
        <v/>
      </c>
      <c r="E6" s="11">
        <f>IF(Enter!A6="","",IF(OR(Enter!E6="No",Enter!E6=""),0,IF(AND(Enter!E6="Yes",OR(Enter!F6="Production — multiple customers",Enter!F6="Production — one customer")),2,1)))</f>
        <v/>
      </c>
      <c r="F6" s="11">
        <f>IF(Enter!A6="","",IF(OR(Enter!H6="No",Enter!H6=""),0,IF(AND(Enter!H6="Yes",OR(Enter!I6="Production — multiple customers",Enter!I6="Production — one customer")),2,1)))</f>
        <v/>
      </c>
      <c r="G6" s="11">
        <f>IF(Enter!A6="","",IF(OR(Enter!K6="No",Enter!K6=""),0,IF(AND(Enter!K6="Yes",OR(Enter!L6="Production — multiple customers",Enter!L6="Production — one customer")),2,1)))</f>
        <v/>
      </c>
      <c r="H6" s="11">
        <f>IF(Enter!A6="","",IF(OR(Enter!N6="No",Enter!N6=""),0,IF(AND(Enter!N6="Yes",OR(Enter!O6="Production — multiple customers",Enter!O6="Production — one customer")),2,1)))</f>
        <v/>
      </c>
      <c r="I6" s="11">
        <f>IF(Enter!A6="","",IF(OR(Enter!Q6="No",Enter!Q6=""),0,IF(AND(Enter!Q6="Yes",OR(Enter!R6="Production — multiple customers",Enter!R6="Production — one customer")),2,1)))</f>
        <v/>
      </c>
      <c r="J6" s="11">
        <f>IF(Enter!A6="","",IF(OR(Enter!T6="No",Enter!T6=""),0,IF(AND(Enter!T6="Yes",OR(Enter!U6="Production — multiple customers",Enter!U6="Production — one customer")),2,1)))</f>
        <v/>
      </c>
      <c r="K6" s="11">
        <f>IF(Enter!A6="","",IF(OR(Enter!W6="No",Enter!W6=""),0,IF(AND(Enter!W6="Yes",OR(Enter!X6="Production — multiple customers",Enter!X6="Production — one customer")),2,1)))</f>
        <v/>
      </c>
      <c r="L6" s="11">
        <f>IF(Enter!A6="","",IF(OR(Enter!Z6="No",Enter!Z6=""),0,IF(AND(Enter!Z6="Yes",OR(Enter!AA6="Production — multiple customers",Enter!AA6="Production — one customer")),2,1)))</f>
        <v/>
      </c>
      <c r="M6" s="11">
        <f>IF(Enter!A6="","",IF(OR(Enter!AC6="No",Enter!AC6=""),0,IF(AND(Enter!AC6="Yes",OR(Enter!AD6="Production — multiple customers",Enter!AD6="Production — one customer")),2,1)))</f>
        <v/>
      </c>
      <c r="N6" s="11">
        <f>IF(Enter!A6="","",IF(OR(Enter!AF6="No",Enter!AF6=""),0,IF(AND(Enter!AF6="Yes",OR(Enter!AG6="Production — multiple customers",Enter!AG6="Production — one customer")),2,1)))</f>
        <v/>
      </c>
      <c r="O6" s="11">
        <f>IF(Enter!A6="","",IF(OR(Enter!AI6="No",Enter!AI6=""),0,IF(AND(Enter!AI6="Yes",OR(Enter!AJ6="Production — multiple customers",Enter!AJ6="Production — one customer")),2,1)))</f>
        <v/>
      </c>
      <c r="P6" s="12">
        <f>IF(Enter!A6="","",SUM(E6:O6))</f>
        <v/>
      </c>
      <c r="Q6" s="10">
        <f>IF(Enter!A6="","",TEXTJOIN(" ",TRUE,E6:O6))</f>
        <v/>
      </c>
      <c r="R6" s="9">
        <f>IF(Enter!A6="","",IF(LEN(CONCAT(V6:AF6))=0,"—",LEFT(CONCAT(V6:AF6),LEN(CONCAT(V6:AF6))-2)))</f>
        <v/>
      </c>
      <c r="S6" s="9">
        <f>IF(Enter!A6="","",IF(LEN(CONCAT(AH6:AR6))=0,"—",LEFT(CONCAT(AH6:AR6),LEN(CONCAT(AH6:AR6))-2)))</f>
        <v/>
      </c>
      <c r="T6" s="9">
        <f>IF(Enter!A6="","",Enter!AO6)</f>
        <v/>
      </c>
      <c r="V6">
        <f>IF(AND(Enter!A6&lt;&gt;"",E6=0),"Workforce supply, ","")</f>
        <v/>
      </c>
      <c r="W6">
        <f>IF(AND(Enter!A6&lt;&gt;"",F6=0),"Availability &amp; reach, ","")</f>
        <v/>
      </c>
      <c r="X6">
        <f>IF(AND(Enter!A6&lt;&gt;"",G6=0),"The capacity math, ","")</f>
        <v/>
      </c>
      <c r="Y6">
        <f>IF(AND(Enter!A6&lt;&gt;"",H6=0),"Demand, ","")</f>
        <v/>
      </c>
      <c r="Z6">
        <f>IF(AND(Enter!A6&lt;&gt;"",I6=0),"Matching, ","")</f>
        <v/>
      </c>
      <c r="AA6">
        <f>IF(AND(Enter!A6&lt;&gt;"",J6=0),"Routing &amp; the week, ","")</f>
        <v/>
      </c>
      <c r="AB6">
        <f>IF(AND(Enter!A6&lt;&gt;"",K6=0),"Exceptions, ","")</f>
        <v/>
      </c>
      <c r="AC6">
        <f>IF(AND(Enter!A6&lt;&gt;"",L6=0),"Before the visit, ","")</f>
        <v/>
      </c>
      <c r="AD6">
        <f>IF(AND(Enter!A6&lt;&gt;"",M6=0),"When plans change, ","")</f>
        <v/>
      </c>
      <c r="AE6">
        <f>IF(AND(Enter!A6&lt;&gt;"",N6=0),"Incentives &amp; offers, ","")</f>
        <v/>
      </c>
      <c r="AF6">
        <f>IF(AND(Enter!A6&lt;&gt;"",O6=0),"Across the care team, ","")</f>
        <v/>
      </c>
      <c r="AH6" t="inlineStr"/>
      <c r="AI6" t="inlineStr"/>
      <c r="AJ6" t="inlineStr"/>
      <c r="AK6" t="inlineStr"/>
      <c r="AL6">
        <f>IF(Enter!S6="Automated end to end","Matching, ","")</f>
        <v/>
      </c>
      <c r="AM6">
        <f>IF(Enter!V6="Automated end to end","Routing &amp; the week, ","")</f>
        <v/>
      </c>
      <c r="AN6">
        <f>IF(Enter!Y6="Automated end to end","Exceptions, ","")</f>
        <v/>
      </c>
      <c r="AO6" t="inlineStr"/>
      <c r="AP6">
        <f>IF(Enter!AE6="Automated end to end","When plans change, ","")</f>
        <v/>
      </c>
      <c r="AQ6">
        <f>IF(Enter!AH6="Automated end to end","Incentives &amp; offers, ","")</f>
        <v/>
      </c>
      <c r="AR6">
        <f>IF(Enter!AK6="Automated end to end","Across the care team, ","")</f>
        <v/>
      </c>
    </row>
    <row r="7" ht="34" customHeight="1">
      <c r="A7" s="9">
        <f>IF(Enter!A7="","",Enter!A7)</f>
        <v/>
      </c>
      <c r="B7" s="10">
        <f>IF(Enter!A7="","",Enter!B7)</f>
        <v/>
      </c>
      <c r="C7" s="10">
        <f>IF(Enter!A7="","",Enter!C7)</f>
        <v/>
      </c>
      <c r="D7" s="10">
        <f>IF(Enter!A7="","",Enter!D7)</f>
        <v/>
      </c>
      <c r="E7" s="11">
        <f>IF(Enter!A7="","",IF(OR(Enter!E7="No",Enter!E7=""),0,IF(AND(Enter!E7="Yes",OR(Enter!F7="Production — multiple customers",Enter!F7="Production — one customer")),2,1)))</f>
        <v/>
      </c>
      <c r="F7" s="11">
        <f>IF(Enter!A7="","",IF(OR(Enter!H7="No",Enter!H7=""),0,IF(AND(Enter!H7="Yes",OR(Enter!I7="Production — multiple customers",Enter!I7="Production — one customer")),2,1)))</f>
        <v/>
      </c>
      <c r="G7" s="11">
        <f>IF(Enter!A7="","",IF(OR(Enter!K7="No",Enter!K7=""),0,IF(AND(Enter!K7="Yes",OR(Enter!L7="Production — multiple customers",Enter!L7="Production — one customer")),2,1)))</f>
        <v/>
      </c>
      <c r="H7" s="11">
        <f>IF(Enter!A7="","",IF(OR(Enter!N7="No",Enter!N7=""),0,IF(AND(Enter!N7="Yes",OR(Enter!O7="Production — multiple customers",Enter!O7="Production — one customer")),2,1)))</f>
        <v/>
      </c>
      <c r="I7" s="11">
        <f>IF(Enter!A7="","",IF(OR(Enter!Q7="No",Enter!Q7=""),0,IF(AND(Enter!Q7="Yes",OR(Enter!R7="Production — multiple customers",Enter!R7="Production — one customer")),2,1)))</f>
        <v/>
      </c>
      <c r="J7" s="11">
        <f>IF(Enter!A7="","",IF(OR(Enter!T7="No",Enter!T7=""),0,IF(AND(Enter!T7="Yes",OR(Enter!U7="Production — multiple customers",Enter!U7="Production — one customer")),2,1)))</f>
        <v/>
      </c>
      <c r="K7" s="11">
        <f>IF(Enter!A7="","",IF(OR(Enter!W7="No",Enter!W7=""),0,IF(AND(Enter!W7="Yes",OR(Enter!X7="Production — multiple customers",Enter!X7="Production — one customer")),2,1)))</f>
        <v/>
      </c>
      <c r="L7" s="11">
        <f>IF(Enter!A7="","",IF(OR(Enter!Z7="No",Enter!Z7=""),0,IF(AND(Enter!Z7="Yes",OR(Enter!AA7="Production — multiple customers",Enter!AA7="Production — one customer")),2,1)))</f>
        <v/>
      </c>
      <c r="M7" s="11">
        <f>IF(Enter!A7="","",IF(OR(Enter!AC7="No",Enter!AC7=""),0,IF(AND(Enter!AC7="Yes",OR(Enter!AD7="Production — multiple customers",Enter!AD7="Production — one customer")),2,1)))</f>
        <v/>
      </c>
      <c r="N7" s="11">
        <f>IF(Enter!A7="","",IF(OR(Enter!AF7="No",Enter!AF7=""),0,IF(AND(Enter!AF7="Yes",OR(Enter!AG7="Production — multiple customers",Enter!AG7="Production — one customer")),2,1)))</f>
        <v/>
      </c>
      <c r="O7" s="11">
        <f>IF(Enter!A7="","",IF(OR(Enter!AI7="No",Enter!AI7=""),0,IF(AND(Enter!AI7="Yes",OR(Enter!AJ7="Production — multiple customers",Enter!AJ7="Production — one customer")),2,1)))</f>
        <v/>
      </c>
      <c r="P7" s="12">
        <f>IF(Enter!A7="","",SUM(E7:O7))</f>
        <v/>
      </c>
      <c r="Q7" s="10">
        <f>IF(Enter!A7="","",TEXTJOIN(" ",TRUE,E7:O7))</f>
        <v/>
      </c>
      <c r="R7" s="9">
        <f>IF(Enter!A7="","",IF(LEN(CONCAT(V7:AF7))=0,"—",LEFT(CONCAT(V7:AF7),LEN(CONCAT(V7:AF7))-2)))</f>
        <v/>
      </c>
      <c r="S7" s="9">
        <f>IF(Enter!A7="","",IF(LEN(CONCAT(AH7:AR7))=0,"—",LEFT(CONCAT(AH7:AR7),LEN(CONCAT(AH7:AR7))-2)))</f>
        <v/>
      </c>
      <c r="T7" s="9">
        <f>IF(Enter!A7="","",Enter!AO7)</f>
        <v/>
      </c>
      <c r="V7">
        <f>IF(AND(Enter!A7&lt;&gt;"",E7=0),"Workforce supply, ","")</f>
        <v/>
      </c>
      <c r="W7">
        <f>IF(AND(Enter!A7&lt;&gt;"",F7=0),"Availability &amp; reach, ","")</f>
        <v/>
      </c>
      <c r="X7">
        <f>IF(AND(Enter!A7&lt;&gt;"",G7=0),"The capacity math, ","")</f>
        <v/>
      </c>
      <c r="Y7">
        <f>IF(AND(Enter!A7&lt;&gt;"",H7=0),"Demand, ","")</f>
        <v/>
      </c>
      <c r="Z7">
        <f>IF(AND(Enter!A7&lt;&gt;"",I7=0),"Matching, ","")</f>
        <v/>
      </c>
      <c r="AA7">
        <f>IF(AND(Enter!A7&lt;&gt;"",J7=0),"Routing &amp; the week, ","")</f>
        <v/>
      </c>
      <c r="AB7">
        <f>IF(AND(Enter!A7&lt;&gt;"",K7=0),"Exceptions, ","")</f>
        <v/>
      </c>
      <c r="AC7">
        <f>IF(AND(Enter!A7&lt;&gt;"",L7=0),"Before the visit, ","")</f>
        <v/>
      </c>
      <c r="AD7">
        <f>IF(AND(Enter!A7&lt;&gt;"",M7=0),"When plans change, ","")</f>
        <v/>
      </c>
      <c r="AE7">
        <f>IF(AND(Enter!A7&lt;&gt;"",N7=0),"Incentives &amp; offers, ","")</f>
        <v/>
      </c>
      <c r="AF7">
        <f>IF(AND(Enter!A7&lt;&gt;"",O7=0),"Across the care team, ","")</f>
        <v/>
      </c>
      <c r="AH7" t="inlineStr"/>
      <c r="AI7" t="inlineStr"/>
      <c r="AJ7" t="inlineStr"/>
      <c r="AK7" t="inlineStr"/>
      <c r="AL7">
        <f>IF(Enter!S7="Automated end to end","Matching, ","")</f>
        <v/>
      </c>
      <c r="AM7">
        <f>IF(Enter!V7="Automated end to end","Routing &amp; the week, ","")</f>
        <v/>
      </c>
      <c r="AN7">
        <f>IF(Enter!Y7="Automated end to end","Exceptions, ","")</f>
        <v/>
      </c>
      <c r="AO7" t="inlineStr"/>
      <c r="AP7">
        <f>IF(Enter!AE7="Automated end to end","When plans change, ","")</f>
        <v/>
      </c>
      <c r="AQ7">
        <f>IF(Enter!AH7="Automated end to end","Incentives &amp; offers, ","")</f>
        <v/>
      </c>
      <c r="AR7">
        <f>IF(Enter!AK7="Automated end to end","Across the care team, ","")</f>
        <v/>
      </c>
    </row>
    <row r="8" ht="34" customHeight="1">
      <c r="A8" s="9">
        <f>IF(Enter!A8="","",Enter!A8)</f>
        <v/>
      </c>
      <c r="B8" s="10">
        <f>IF(Enter!A8="","",Enter!B8)</f>
        <v/>
      </c>
      <c r="C8" s="10">
        <f>IF(Enter!A8="","",Enter!C8)</f>
        <v/>
      </c>
      <c r="D8" s="10">
        <f>IF(Enter!A8="","",Enter!D8)</f>
        <v/>
      </c>
      <c r="E8" s="11">
        <f>IF(Enter!A8="","",IF(OR(Enter!E8="No",Enter!E8=""),0,IF(AND(Enter!E8="Yes",OR(Enter!F8="Production — multiple customers",Enter!F8="Production — one customer")),2,1)))</f>
        <v/>
      </c>
      <c r="F8" s="11">
        <f>IF(Enter!A8="","",IF(OR(Enter!H8="No",Enter!H8=""),0,IF(AND(Enter!H8="Yes",OR(Enter!I8="Production — multiple customers",Enter!I8="Production — one customer")),2,1)))</f>
        <v/>
      </c>
      <c r="G8" s="11">
        <f>IF(Enter!A8="","",IF(OR(Enter!K8="No",Enter!K8=""),0,IF(AND(Enter!K8="Yes",OR(Enter!L8="Production — multiple customers",Enter!L8="Production — one customer")),2,1)))</f>
        <v/>
      </c>
      <c r="H8" s="11">
        <f>IF(Enter!A8="","",IF(OR(Enter!N8="No",Enter!N8=""),0,IF(AND(Enter!N8="Yes",OR(Enter!O8="Production — multiple customers",Enter!O8="Production — one customer")),2,1)))</f>
        <v/>
      </c>
      <c r="I8" s="11">
        <f>IF(Enter!A8="","",IF(OR(Enter!Q8="No",Enter!Q8=""),0,IF(AND(Enter!Q8="Yes",OR(Enter!R8="Production — multiple customers",Enter!R8="Production — one customer")),2,1)))</f>
        <v/>
      </c>
      <c r="J8" s="11">
        <f>IF(Enter!A8="","",IF(OR(Enter!T8="No",Enter!T8=""),0,IF(AND(Enter!T8="Yes",OR(Enter!U8="Production — multiple customers",Enter!U8="Production — one customer")),2,1)))</f>
        <v/>
      </c>
      <c r="K8" s="11">
        <f>IF(Enter!A8="","",IF(OR(Enter!W8="No",Enter!W8=""),0,IF(AND(Enter!W8="Yes",OR(Enter!X8="Production — multiple customers",Enter!X8="Production — one customer")),2,1)))</f>
        <v/>
      </c>
      <c r="L8" s="11">
        <f>IF(Enter!A8="","",IF(OR(Enter!Z8="No",Enter!Z8=""),0,IF(AND(Enter!Z8="Yes",OR(Enter!AA8="Production — multiple customers",Enter!AA8="Production — one customer")),2,1)))</f>
        <v/>
      </c>
      <c r="M8" s="11">
        <f>IF(Enter!A8="","",IF(OR(Enter!AC8="No",Enter!AC8=""),0,IF(AND(Enter!AC8="Yes",OR(Enter!AD8="Production — multiple customers",Enter!AD8="Production — one customer")),2,1)))</f>
        <v/>
      </c>
      <c r="N8" s="11">
        <f>IF(Enter!A8="","",IF(OR(Enter!AF8="No",Enter!AF8=""),0,IF(AND(Enter!AF8="Yes",OR(Enter!AG8="Production — multiple customers",Enter!AG8="Production — one customer")),2,1)))</f>
        <v/>
      </c>
      <c r="O8" s="11">
        <f>IF(Enter!A8="","",IF(OR(Enter!AI8="No",Enter!AI8=""),0,IF(AND(Enter!AI8="Yes",OR(Enter!AJ8="Production — multiple customers",Enter!AJ8="Production — one customer")),2,1)))</f>
        <v/>
      </c>
      <c r="P8" s="12">
        <f>IF(Enter!A8="","",SUM(E8:O8))</f>
        <v/>
      </c>
      <c r="Q8" s="10">
        <f>IF(Enter!A8="","",TEXTJOIN(" ",TRUE,E8:O8))</f>
        <v/>
      </c>
      <c r="R8" s="9">
        <f>IF(Enter!A8="","",IF(LEN(CONCAT(V8:AF8))=0,"—",LEFT(CONCAT(V8:AF8),LEN(CONCAT(V8:AF8))-2)))</f>
        <v/>
      </c>
      <c r="S8" s="9">
        <f>IF(Enter!A8="","",IF(LEN(CONCAT(AH8:AR8))=0,"—",LEFT(CONCAT(AH8:AR8),LEN(CONCAT(AH8:AR8))-2)))</f>
        <v/>
      </c>
      <c r="T8" s="9">
        <f>IF(Enter!A8="","",Enter!AO8)</f>
        <v/>
      </c>
      <c r="V8">
        <f>IF(AND(Enter!A8&lt;&gt;"",E8=0),"Workforce supply, ","")</f>
        <v/>
      </c>
      <c r="W8">
        <f>IF(AND(Enter!A8&lt;&gt;"",F8=0),"Availability &amp; reach, ","")</f>
        <v/>
      </c>
      <c r="X8">
        <f>IF(AND(Enter!A8&lt;&gt;"",G8=0),"The capacity math, ","")</f>
        <v/>
      </c>
      <c r="Y8">
        <f>IF(AND(Enter!A8&lt;&gt;"",H8=0),"Demand, ","")</f>
        <v/>
      </c>
      <c r="Z8">
        <f>IF(AND(Enter!A8&lt;&gt;"",I8=0),"Matching, ","")</f>
        <v/>
      </c>
      <c r="AA8">
        <f>IF(AND(Enter!A8&lt;&gt;"",J8=0),"Routing &amp; the week, ","")</f>
        <v/>
      </c>
      <c r="AB8">
        <f>IF(AND(Enter!A8&lt;&gt;"",K8=0),"Exceptions, ","")</f>
        <v/>
      </c>
      <c r="AC8">
        <f>IF(AND(Enter!A8&lt;&gt;"",L8=0),"Before the visit, ","")</f>
        <v/>
      </c>
      <c r="AD8">
        <f>IF(AND(Enter!A8&lt;&gt;"",M8=0),"When plans change, ","")</f>
        <v/>
      </c>
      <c r="AE8">
        <f>IF(AND(Enter!A8&lt;&gt;"",N8=0),"Incentives &amp; offers, ","")</f>
        <v/>
      </c>
      <c r="AF8">
        <f>IF(AND(Enter!A8&lt;&gt;"",O8=0),"Across the care team, ","")</f>
        <v/>
      </c>
      <c r="AH8" t="inlineStr"/>
      <c r="AI8" t="inlineStr"/>
      <c r="AJ8" t="inlineStr"/>
      <c r="AK8" t="inlineStr"/>
      <c r="AL8">
        <f>IF(Enter!S8="Automated end to end","Matching, ","")</f>
        <v/>
      </c>
      <c r="AM8">
        <f>IF(Enter!V8="Automated end to end","Routing &amp; the week, ","")</f>
        <v/>
      </c>
      <c r="AN8">
        <f>IF(Enter!Y8="Automated end to end","Exceptions, ","")</f>
        <v/>
      </c>
      <c r="AO8" t="inlineStr"/>
      <c r="AP8">
        <f>IF(Enter!AE8="Automated end to end","When plans change, ","")</f>
        <v/>
      </c>
      <c r="AQ8">
        <f>IF(Enter!AH8="Automated end to end","Incentives &amp; offers, ","")</f>
        <v/>
      </c>
      <c r="AR8">
        <f>IF(Enter!AK8="Automated end to end","Across the care team, ","")</f>
        <v/>
      </c>
    </row>
    <row r="9" ht="34" customHeight="1">
      <c r="A9" s="9">
        <f>IF(Enter!A9="","",Enter!A9)</f>
        <v/>
      </c>
      <c r="B9" s="10">
        <f>IF(Enter!A9="","",Enter!B9)</f>
        <v/>
      </c>
      <c r="C9" s="10">
        <f>IF(Enter!A9="","",Enter!C9)</f>
        <v/>
      </c>
      <c r="D9" s="10">
        <f>IF(Enter!A9="","",Enter!D9)</f>
        <v/>
      </c>
      <c r="E9" s="11">
        <f>IF(Enter!A9="","",IF(OR(Enter!E9="No",Enter!E9=""),0,IF(AND(Enter!E9="Yes",OR(Enter!F9="Production — multiple customers",Enter!F9="Production — one customer")),2,1)))</f>
        <v/>
      </c>
      <c r="F9" s="11">
        <f>IF(Enter!A9="","",IF(OR(Enter!H9="No",Enter!H9=""),0,IF(AND(Enter!H9="Yes",OR(Enter!I9="Production — multiple customers",Enter!I9="Production — one customer")),2,1)))</f>
        <v/>
      </c>
      <c r="G9" s="11">
        <f>IF(Enter!A9="","",IF(OR(Enter!K9="No",Enter!K9=""),0,IF(AND(Enter!K9="Yes",OR(Enter!L9="Production — multiple customers",Enter!L9="Production — one customer")),2,1)))</f>
        <v/>
      </c>
      <c r="H9" s="11">
        <f>IF(Enter!A9="","",IF(OR(Enter!N9="No",Enter!N9=""),0,IF(AND(Enter!N9="Yes",OR(Enter!O9="Production — multiple customers",Enter!O9="Production — one customer")),2,1)))</f>
        <v/>
      </c>
      <c r="I9" s="11">
        <f>IF(Enter!A9="","",IF(OR(Enter!Q9="No",Enter!Q9=""),0,IF(AND(Enter!Q9="Yes",OR(Enter!R9="Production — multiple customers",Enter!R9="Production — one customer")),2,1)))</f>
        <v/>
      </c>
      <c r="J9" s="11">
        <f>IF(Enter!A9="","",IF(OR(Enter!T9="No",Enter!T9=""),0,IF(AND(Enter!T9="Yes",OR(Enter!U9="Production — multiple customers",Enter!U9="Production — one customer")),2,1)))</f>
        <v/>
      </c>
      <c r="K9" s="11">
        <f>IF(Enter!A9="","",IF(OR(Enter!W9="No",Enter!W9=""),0,IF(AND(Enter!W9="Yes",OR(Enter!X9="Production — multiple customers",Enter!X9="Production — one customer")),2,1)))</f>
        <v/>
      </c>
      <c r="L9" s="11">
        <f>IF(Enter!A9="","",IF(OR(Enter!Z9="No",Enter!Z9=""),0,IF(AND(Enter!Z9="Yes",OR(Enter!AA9="Production — multiple customers",Enter!AA9="Production — one customer")),2,1)))</f>
        <v/>
      </c>
      <c r="M9" s="11">
        <f>IF(Enter!A9="","",IF(OR(Enter!AC9="No",Enter!AC9=""),0,IF(AND(Enter!AC9="Yes",OR(Enter!AD9="Production — multiple customers",Enter!AD9="Production — one customer")),2,1)))</f>
        <v/>
      </c>
      <c r="N9" s="11">
        <f>IF(Enter!A9="","",IF(OR(Enter!AF9="No",Enter!AF9=""),0,IF(AND(Enter!AF9="Yes",OR(Enter!AG9="Production — multiple customers",Enter!AG9="Production — one customer")),2,1)))</f>
        <v/>
      </c>
      <c r="O9" s="11">
        <f>IF(Enter!A9="","",IF(OR(Enter!AI9="No",Enter!AI9=""),0,IF(AND(Enter!AI9="Yes",OR(Enter!AJ9="Production — multiple customers",Enter!AJ9="Production — one customer")),2,1)))</f>
        <v/>
      </c>
      <c r="P9" s="12">
        <f>IF(Enter!A9="","",SUM(E9:O9))</f>
        <v/>
      </c>
      <c r="Q9" s="10">
        <f>IF(Enter!A9="","",TEXTJOIN(" ",TRUE,E9:O9))</f>
        <v/>
      </c>
      <c r="R9" s="9">
        <f>IF(Enter!A9="","",IF(LEN(CONCAT(V9:AF9))=0,"—",LEFT(CONCAT(V9:AF9),LEN(CONCAT(V9:AF9))-2)))</f>
        <v/>
      </c>
      <c r="S9" s="9">
        <f>IF(Enter!A9="","",IF(LEN(CONCAT(AH9:AR9))=0,"—",LEFT(CONCAT(AH9:AR9),LEN(CONCAT(AH9:AR9))-2)))</f>
        <v/>
      </c>
      <c r="T9" s="9">
        <f>IF(Enter!A9="","",Enter!AO9)</f>
        <v/>
      </c>
      <c r="V9">
        <f>IF(AND(Enter!A9&lt;&gt;"",E9=0),"Workforce supply, ","")</f>
        <v/>
      </c>
      <c r="W9">
        <f>IF(AND(Enter!A9&lt;&gt;"",F9=0),"Availability &amp; reach, ","")</f>
        <v/>
      </c>
      <c r="X9">
        <f>IF(AND(Enter!A9&lt;&gt;"",G9=0),"The capacity math, ","")</f>
        <v/>
      </c>
      <c r="Y9">
        <f>IF(AND(Enter!A9&lt;&gt;"",H9=0),"Demand, ","")</f>
        <v/>
      </c>
      <c r="Z9">
        <f>IF(AND(Enter!A9&lt;&gt;"",I9=0),"Matching, ","")</f>
        <v/>
      </c>
      <c r="AA9">
        <f>IF(AND(Enter!A9&lt;&gt;"",J9=0),"Routing &amp; the week, ","")</f>
        <v/>
      </c>
      <c r="AB9">
        <f>IF(AND(Enter!A9&lt;&gt;"",K9=0),"Exceptions, ","")</f>
        <v/>
      </c>
      <c r="AC9">
        <f>IF(AND(Enter!A9&lt;&gt;"",L9=0),"Before the visit, ","")</f>
        <v/>
      </c>
      <c r="AD9">
        <f>IF(AND(Enter!A9&lt;&gt;"",M9=0),"When plans change, ","")</f>
        <v/>
      </c>
      <c r="AE9">
        <f>IF(AND(Enter!A9&lt;&gt;"",N9=0),"Incentives &amp; offers, ","")</f>
        <v/>
      </c>
      <c r="AF9">
        <f>IF(AND(Enter!A9&lt;&gt;"",O9=0),"Across the care team, ","")</f>
        <v/>
      </c>
      <c r="AH9" t="inlineStr"/>
      <c r="AI9" t="inlineStr"/>
      <c r="AJ9" t="inlineStr"/>
      <c r="AK9" t="inlineStr"/>
      <c r="AL9">
        <f>IF(Enter!S9="Automated end to end","Matching, ","")</f>
        <v/>
      </c>
      <c r="AM9">
        <f>IF(Enter!V9="Automated end to end","Routing &amp; the week, ","")</f>
        <v/>
      </c>
      <c r="AN9">
        <f>IF(Enter!Y9="Automated end to end","Exceptions, ","")</f>
        <v/>
      </c>
      <c r="AO9" t="inlineStr"/>
      <c r="AP9">
        <f>IF(Enter!AE9="Automated end to end","When plans change, ","")</f>
        <v/>
      </c>
      <c r="AQ9">
        <f>IF(Enter!AH9="Automated end to end","Incentives &amp; offers, ","")</f>
        <v/>
      </c>
      <c r="AR9">
        <f>IF(Enter!AK9="Automated end to end","Across the care team, ","")</f>
        <v/>
      </c>
    </row>
    <row r="10" ht="34" customHeight="1">
      <c r="A10" s="9">
        <f>IF(Enter!A10="","",Enter!A10)</f>
        <v/>
      </c>
      <c r="B10" s="10">
        <f>IF(Enter!A10="","",Enter!B10)</f>
        <v/>
      </c>
      <c r="C10" s="10">
        <f>IF(Enter!A10="","",Enter!C10)</f>
        <v/>
      </c>
      <c r="D10" s="10">
        <f>IF(Enter!A10="","",Enter!D10)</f>
        <v/>
      </c>
      <c r="E10" s="11">
        <f>IF(Enter!A10="","",IF(OR(Enter!E10="No",Enter!E10=""),0,IF(AND(Enter!E10="Yes",OR(Enter!F10="Production — multiple customers",Enter!F10="Production — one customer")),2,1)))</f>
        <v/>
      </c>
      <c r="F10" s="11">
        <f>IF(Enter!A10="","",IF(OR(Enter!H10="No",Enter!H10=""),0,IF(AND(Enter!H10="Yes",OR(Enter!I10="Production — multiple customers",Enter!I10="Production — one customer")),2,1)))</f>
        <v/>
      </c>
      <c r="G10" s="11">
        <f>IF(Enter!A10="","",IF(OR(Enter!K10="No",Enter!K10=""),0,IF(AND(Enter!K10="Yes",OR(Enter!L10="Production — multiple customers",Enter!L10="Production — one customer")),2,1)))</f>
        <v/>
      </c>
      <c r="H10" s="11">
        <f>IF(Enter!A10="","",IF(OR(Enter!N10="No",Enter!N10=""),0,IF(AND(Enter!N10="Yes",OR(Enter!O10="Production — multiple customers",Enter!O10="Production — one customer")),2,1)))</f>
        <v/>
      </c>
      <c r="I10" s="11">
        <f>IF(Enter!A10="","",IF(OR(Enter!Q10="No",Enter!Q10=""),0,IF(AND(Enter!Q10="Yes",OR(Enter!R10="Production — multiple customers",Enter!R10="Production — one customer")),2,1)))</f>
        <v/>
      </c>
      <c r="J10" s="11">
        <f>IF(Enter!A10="","",IF(OR(Enter!T10="No",Enter!T10=""),0,IF(AND(Enter!T10="Yes",OR(Enter!U10="Production — multiple customers",Enter!U10="Production — one customer")),2,1)))</f>
        <v/>
      </c>
      <c r="K10" s="11">
        <f>IF(Enter!A10="","",IF(OR(Enter!W10="No",Enter!W10=""),0,IF(AND(Enter!W10="Yes",OR(Enter!X10="Production — multiple customers",Enter!X10="Production — one customer")),2,1)))</f>
        <v/>
      </c>
      <c r="L10" s="11">
        <f>IF(Enter!A10="","",IF(OR(Enter!Z10="No",Enter!Z10=""),0,IF(AND(Enter!Z10="Yes",OR(Enter!AA10="Production — multiple customers",Enter!AA10="Production — one customer")),2,1)))</f>
        <v/>
      </c>
      <c r="M10" s="11">
        <f>IF(Enter!A10="","",IF(OR(Enter!AC10="No",Enter!AC10=""),0,IF(AND(Enter!AC10="Yes",OR(Enter!AD10="Production — multiple customers",Enter!AD10="Production — one customer")),2,1)))</f>
        <v/>
      </c>
      <c r="N10" s="11">
        <f>IF(Enter!A10="","",IF(OR(Enter!AF10="No",Enter!AF10=""),0,IF(AND(Enter!AF10="Yes",OR(Enter!AG10="Production — multiple customers",Enter!AG10="Production — one customer")),2,1)))</f>
        <v/>
      </c>
      <c r="O10" s="11">
        <f>IF(Enter!A10="","",IF(OR(Enter!AI10="No",Enter!AI10=""),0,IF(AND(Enter!AI10="Yes",OR(Enter!AJ10="Production — multiple customers",Enter!AJ10="Production — one customer")),2,1)))</f>
        <v/>
      </c>
      <c r="P10" s="12">
        <f>IF(Enter!A10="","",SUM(E10:O10))</f>
        <v/>
      </c>
      <c r="Q10" s="10">
        <f>IF(Enter!A10="","",TEXTJOIN(" ",TRUE,E10:O10))</f>
        <v/>
      </c>
      <c r="R10" s="9">
        <f>IF(Enter!A10="","",IF(LEN(CONCAT(V10:AF10))=0,"—",LEFT(CONCAT(V10:AF10),LEN(CONCAT(V10:AF10))-2)))</f>
        <v/>
      </c>
      <c r="S10" s="9">
        <f>IF(Enter!A10="","",IF(LEN(CONCAT(AH10:AR10))=0,"—",LEFT(CONCAT(AH10:AR10),LEN(CONCAT(AH10:AR10))-2)))</f>
        <v/>
      </c>
      <c r="T10" s="9">
        <f>IF(Enter!A10="","",Enter!AO10)</f>
        <v/>
      </c>
      <c r="V10">
        <f>IF(AND(Enter!A10&lt;&gt;"",E10=0),"Workforce supply, ","")</f>
        <v/>
      </c>
      <c r="W10">
        <f>IF(AND(Enter!A10&lt;&gt;"",F10=0),"Availability &amp; reach, ","")</f>
        <v/>
      </c>
      <c r="X10">
        <f>IF(AND(Enter!A10&lt;&gt;"",G10=0),"The capacity math, ","")</f>
        <v/>
      </c>
      <c r="Y10">
        <f>IF(AND(Enter!A10&lt;&gt;"",H10=0),"Demand, ","")</f>
        <v/>
      </c>
      <c r="Z10">
        <f>IF(AND(Enter!A10&lt;&gt;"",I10=0),"Matching, ","")</f>
        <v/>
      </c>
      <c r="AA10">
        <f>IF(AND(Enter!A10&lt;&gt;"",J10=0),"Routing &amp; the week, ","")</f>
        <v/>
      </c>
      <c r="AB10">
        <f>IF(AND(Enter!A10&lt;&gt;"",K10=0),"Exceptions, ","")</f>
        <v/>
      </c>
      <c r="AC10">
        <f>IF(AND(Enter!A10&lt;&gt;"",L10=0),"Before the visit, ","")</f>
        <v/>
      </c>
      <c r="AD10">
        <f>IF(AND(Enter!A10&lt;&gt;"",M10=0),"When plans change, ","")</f>
        <v/>
      </c>
      <c r="AE10">
        <f>IF(AND(Enter!A10&lt;&gt;"",N10=0),"Incentives &amp; offers, ","")</f>
        <v/>
      </c>
      <c r="AF10">
        <f>IF(AND(Enter!A10&lt;&gt;"",O10=0),"Across the care team, ","")</f>
        <v/>
      </c>
      <c r="AH10" t="inlineStr"/>
      <c r="AI10" t="inlineStr"/>
      <c r="AJ10" t="inlineStr"/>
      <c r="AK10" t="inlineStr"/>
      <c r="AL10">
        <f>IF(Enter!S10="Automated end to end","Matching, ","")</f>
        <v/>
      </c>
      <c r="AM10">
        <f>IF(Enter!V10="Automated end to end","Routing &amp; the week, ","")</f>
        <v/>
      </c>
      <c r="AN10">
        <f>IF(Enter!Y10="Automated end to end","Exceptions, ","")</f>
        <v/>
      </c>
      <c r="AO10" t="inlineStr"/>
      <c r="AP10">
        <f>IF(Enter!AE10="Automated end to end","When plans change, ","")</f>
        <v/>
      </c>
      <c r="AQ10">
        <f>IF(Enter!AH10="Automated end to end","Incentives &amp; offers, ","")</f>
        <v/>
      </c>
      <c r="AR10">
        <f>IF(Enter!AK10="Automated end to end","Across the care team, ","")</f>
        <v/>
      </c>
    </row>
    <row r="11" ht="34" customHeight="1">
      <c r="A11" s="9">
        <f>IF(Enter!A11="","",Enter!A11)</f>
        <v/>
      </c>
      <c r="B11" s="10">
        <f>IF(Enter!A11="","",Enter!B11)</f>
        <v/>
      </c>
      <c r="C11" s="10">
        <f>IF(Enter!A11="","",Enter!C11)</f>
        <v/>
      </c>
      <c r="D11" s="10">
        <f>IF(Enter!A11="","",Enter!D11)</f>
        <v/>
      </c>
      <c r="E11" s="11">
        <f>IF(Enter!A11="","",IF(OR(Enter!E11="No",Enter!E11=""),0,IF(AND(Enter!E11="Yes",OR(Enter!F11="Production — multiple customers",Enter!F11="Production — one customer")),2,1)))</f>
        <v/>
      </c>
      <c r="F11" s="11">
        <f>IF(Enter!A11="","",IF(OR(Enter!H11="No",Enter!H11=""),0,IF(AND(Enter!H11="Yes",OR(Enter!I11="Production — multiple customers",Enter!I11="Production — one customer")),2,1)))</f>
        <v/>
      </c>
      <c r="G11" s="11">
        <f>IF(Enter!A11="","",IF(OR(Enter!K11="No",Enter!K11=""),0,IF(AND(Enter!K11="Yes",OR(Enter!L11="Production — multiple customers",Enter!L11="Production — one customer")),2,1)))</f>
        <v/>
      </c>
      <c r="H11" s="11">
        <f>IF(Enter!A11="","",IF(OR(Enter!N11="No",Enter!N11=""),0,IF(AND(Enter!N11="Yes",OR(Enter!O11="Production — multiple customers",Enter!O11="Production — one customer")),2,1)))</f>
        <v/>
      </c>
      <c r="I11" s="11">
        <f>IF(Enter!A11="","",IF(OR(Enter!Q11="No",Enter!Q11=""),0,IF(AND(Enter!Q11="Yes",OR(Enter!R11="Production — multiple customers",Enter!R11="Production — one customer")),2,1)))</f>
        <v/>
      </c>
      <c r="J11" s="11">
        <f>IF(Enter!A11="","",IF(OR(Enter!T11="No",Enter!T11=""),0,IF(AND(Enter!T11="Yes",OR(Enter!U11="Production — multiple customers",Enter!U11="Production — one customer")),2,1)))</f>
        <v/>
      </c>
      <c r="K11" s="11">
        <f>IF(Enter!A11="","",IF(OR(Enter!W11="No",Enter!W11=""),0,IF(AND(Enter!W11="Yes",OR(Enter!X11="Production — multiple customers",Enter!X11="Production — one customer")),2,1)))</f>
        <v/>
      </c>
      <c r="L11" s="11">
        <f>IF(Enter!A11="","",IF(OR(Enter!Z11="No",Enter!Z11=""),0,IF(AND(Enter!Z11="Yes",OR(Enter!AA11="Production — multiple customers",Enter!AA11="Production — one customer")),2,1)))</f>
        <v/>
      </c>
      <c r="M11" s="11">
        <f>IF(Enter!A11="","",IF(OR(Enter!AC11="No",Enter!AC11=""),0,IF(AND(Enter!AC11="Yes",OR(Enter!AD11="Production — multiple customers",Enter!AD11="Production — one customer")),2,1)))</f>
        <v/>
      </c>
      <c r="N11" s="11">
        <f>IF(Enter!A11="","",IF(OR(Enter!AF11="No",Enter!AF11=""),0,IF(AND(Enter!AF11="Yes",OR(Enter!AG11="Production — multiple customers",Enter!AG11="Production — one customer")),2,1)))</f>
        <v/>
      </c>
      <c r="O11" s="11">
        <f>IF(Enter!A11="","",IF(OR(Enter!AI11="No",Enter!AI11=""),0,IF(AND(Enter!AI11="Yes",OR(Enter!AJ11="Production — multiple customers",Enter!AJ11="Production — one customer")),2,1)))</f>
        <v/>
      </c>
      <c r="P11" s="12">
        <f>IF(Enter!A11="","",SUM(E11:O11))</f>
        <v/>
      </c>
      <c r="Q11" s="10">
        <f>IF(Enter!A11="","",TEXTJOIN(" ",TRUE,E11:O11))</f>
        <v/>
      </c>
      <c r="R11" s="9">
        <f>IF(Enter!A11="","",IF(LEN(CONCAT(V11:AF11))=0,"—",LEFT(CONCAT(V11:AF11),LEN(CONCAT(V11:AF11))-2)))</f>
        <v/>
      </c>
      <c r="S11" s="9">
        <f>IF(Enter!A11="","",IF(LEN(CONCAT(AH11:AR11))=0,"—",LEFT(CONCAT(AH11:AR11),LEN(CONCAT(AH11:AR11))-2)))</f>
        <v/>
      </c>
      <c r="T11" s="9">
        <f>IF(Enter!A11="","",Enter!AO11)</f>
        <v/>
      </c>
      <c r="V11">
        <f>IF(AND(Enter!A11&lt;&gt;"",E11=0),"Workforce supply, ","")</f>
        <v/>
      </c>
      <c r="W11">
        <f>IF(AND(Enter!A11&lt;&gt;"",F11=0),"Availability &amp; reach, ","")</f>
        <v/>
      </c>
      <c r="X11">
        <f>IF(AND(Enter!A11&lt;&gt;"",G11=0),"The capacity math, ","")</f>
        <v/>
      </c>
      <c r="Y11">
        <f>IF(AND(Enter!A11&lt;&gt;"",H11=0),"Demand, ","")</f>
        <v/>
      </c>
      <c r="Z11">
        <f>IF(AND(Enter!A11&lt;&gt;"",I11=0),"Matching, ","")</f>
        <v/>
      </c>
      <c r="AA11">
        <f>IF(AND(Enter!A11&lt;&gt;"",J11=0),"Routing &amp; the week, ","")</f>
        <v/>
      </c>
      <c r="AB11">
        <f>IF(AND(Enter!A11&lt;&gt;"",K11=0),"Exceptions, ","")</f>
        <v/>
      </c>
      <c r="AC11">
        <f>IF(AND(Enter!A11&lt;&gt;"",L11=0),"Before the visit, ","")</f>
        <v/>
      </c>
      <c r="AD11">
        <f>IF(AND(Enter!A11&lt;&gt;"",M11=0),"When plans change, ","")</f>
        <v/>
      </c>
      <c r="AE11">
        <f>IF(AND(Enter!A11&lt;&gt;"",N11=0),"Incentives &amp; offers, ","")</f>
        <v/>
      </c>
      <c r="AF11">
        <f>IF(AND(Enter!A11&lt;&gt;"",O11=0),"Across the care team, ","")</f>
        <v/>
      </c>
      <c r="AH11" t="inlineStr"/>
      <c r="AI11" t="inlineStr"/>
      <c r="AJ11" t="inlineStr"/>
      <c r="AK11" t="inlineStr"/>
      <c r="AL11">
        <f>IF(Enter!S11="Automated end to end","Matching, ","")</f>
        <v/>
      </c>
      <c r="AM11">
        <f>IF(Enter!V11="Automated end to end","Routing &amp; the week, ","")</f>
        <v/>
      </c>
      <c r="AN11">
        <f>IF(Enter!Y11="Automated end to end","Exceptions, ","")</f>
        <v/>
      </c>
      <c r="AO11" t="inlineStr"/>
      <c r="AP11">
        <f>IF(Enter!AE11="Automated end to end","When plans change, ","")</f>
        <v/>
      </c>
      <c r="AQ11">
        <f>IF(Enter!AH11="Automated end to end","Incentives &amp; offers, ","")</f>
        <v/>
      </c>
      <c r="AR11">
        <f>IF(Enter!AK11="Automated end to end","Across the care team, ","")</f>
        <v/>
      </c>
    </row>
    <row r="12" ht="34" customHeight="1">
      <c r="A12" s="9">
        <f>IF(Enter!A12="","",Enter!A12)</f>
        <v/>
      </c>
      <c r="B12" s="10">
        <f>IF(Enter!A12="","",Enter!B12)</f>
        <v/>
      </c>
      <c r="C12" s="10">
        <f>IF(Enter!A12="","",Enter!C12)</f>
        <v/>
      </c>
      <c r="D12" s="10">
        <f>IF(Enter!A12="","",Enter!D12)</f>
        <v/>
      </c>
      <c r="E12" s="11">
        <f>IF(Enter!A12="","",IF(OR(Enter!E12="No",Enter!E12=""),0,IF(AND(Enter!E12="Yes",OR(Enter!F12="Production — multiple customers",Enter!F12="Production — one customer")),2,1)))</f>
        <v/>
      </c>
      <c r="F12" s="11">
        <f>IF(Enter!A12="","",IF(OR(Enter!H12="No",Enter!H12=""),0,IF(AND(Enter!H12="Yes",OR(Enter!I12="Production — multiple customers",Enter!I12="Production — one customer")),2,1)))</f>
        <v/>
      </c>
      <c r="G12" s="11">
        <f>IF(Enter!A12="","",IF(OR(Enter!K12="No",Enter!K12=""),0,IF(AND(Enter!K12="Yes",OR(Enter!L12="Production — multiple customers",Enter!L12="Production — one customer")),2,1)))</f>
        <v/>
      </c>
      <c r="H12" s="11">
        <f>IF(Enter!A12="","",IF(OR(Enter!N12="No",Enter!N12=""),0,IF(AND(Enter!N12="Yes",OR(Enter!O12="Production — multiple customers",Enter!O12="Production — one customer")),2,1)))</f>
        <v/>
      </c>
      <c r="I12" s="11">
        <f>IF(Enter!A12="","",IF(OR(Enter!Q12="No",Enter!Q12=""),0,IF(AND(Enter!Q12="Yes",OR(Enter!R12="Production — multiple customers",Enter!R12="Production — one customer")),2,1)))</f>
        <v/>
      </c>
      <c r="J12" s="11">
        <f>IF(Enter!A12="","",IF(OR(Enter!T12="No",Enter!T12=""),0,IF(AND(Enter!T12="Yes",OR(Enter!U12="Production — multiple customers",Enter!U12="Production — one customer")),2,1)))</f>
        <v/>
      </c>
      <c r="K12" s="11">
        <f>IF(Enter!A12="","",IF(OR(Enter!W12="No",Enter!W12=""),0,IF(AND(Enter!W12="Yes",OR(Enter!X12="Production — multiple customers",Enter!X12="Production — one customer")),2,1)))</f>
        <v/>
      </c>
      <c r="L12" s="11">
        <f>IF(Enter!A12="","",IF(OR(Enter!Z12="No",Enter!Z12=""),0,IF(AND(Enter!Z12="Yes",OR(Enter!AA12="Production — multiple customers",Enter!AA12="Production — one customer")),2,1)))</f>
        <v/>
      </c>
      <c r="M12" s="11">
        <f>IF(Enter!A12="","",IF(OR(Enter!AC12="No",Enter!AC12=""),0,IF(AND(Enter!AC12="Yes",OR(Enter!AD12="Production — multiple customers",Enter!AD12="Production — one customer")),2,1)))</f>
        <v/>
      </c>
      <c r="N12" s="11">
        <f>IF(Enter!A12="","",IF(OR(Enter!AF12="No",Enter!AF12=""),0,IF(AND(Enter!AF12="Yes",OR(Enter!AG12="Production — multiple customers",Enter!AG12="Production — one customer")),2,1)))</f>
        <v/>
      </c>
      <c r="O12" s="11">
        <f>IF(Enter!A12="","",IF(OR(Enter!AI12="No",Enter!AI12=""),0,IF(AND(Enter!AI12="Yes",OR(Enter!AJ12="Production — multiple customers",Enter!AJ12="Production — one customer")),2,1)))</f>
        <v/>
      </c>
      <c r="P12" s="12">
        <f>IF(Enter!A12="","",SUM(E12:O12))</f>
        <v/>
      </c>
      <c r="Q12" s="10">
        <f>IF(Enter!A12="","",TEXTJOIN(" ",TRUE,E12:O12))</f>
        <v/>
      </c>
      <c r="R12" s="9">
        <f>IF(Enter!A12="","",IF(LEN(CONCAT(V12:AF12))=0,"—",LEFT(CONCAT(V12:AF12),LEN(CONCAT(V12:AF12))-2)))</f>
        <v/>
      </c>
      <c r="S12" s="9">
        <f>IF(Enter!A12="","",IF(LEN(CONCAT(AH12:AR12))=0,"—",LEFT(CONCAT(AH12:AR12),LEN(CONCAT(AH12:AR12))-2)))</f>
        <v/>
      </c>
      <c r="T12" s="9">
        <f>IF(Enter!A12="","",Enter!AO12)</f>
        <v/>
      </c>
      <c r="V12">
        <f>IF(AND(Enter!A12&lt;&gt;"",E12=0),"Workforce supply, ","")</f>
        <v/>
      </c>
      <c r="W12">
        <f>IF(AND(Enter!A12&lt;&gt;"",F12=0),"Availability &amp; reach, ","")</f>
        <v/>
      </c>
      <c r="X12">
        <f>IF(AND(Enter!A12&lt;&gt;"",G12=0),"The capacity math, ","")</f>
        <v/>
      </c>
      <c r="Y12">
        <f>IF(AND(Enter!A12&lt;&gt;"",H12=0),"Demand, ","")</f>
        <v/>
      </c>
      <c r="Z12">
        <f>IF(AND(Enter!A12&lt;&gt;"",I12=0),"Matching, ","")</f>
        <v/>
      </c>
      <c r="AA12">
        <f>IF(AND(Enter!A12&lt;&gt;"",J12=0),"Routing &amp; the week, ","")</f>
        <v/>
      </c>
      <c r="AB12">
        <f>IF(AND(Enter!A12&lt;&gt;"",K12=0),"Exceptions, ","")</f>
        <v/>
      </c>
      <c r="AC12">
        <f>IF(AND(Enter!A12&lt;&gt;"",L12=0),"Before the visit, ","")</f>
        <v/>
      </c>
      <c r="AD12">
        <f>IF(AND(Enter!A12&lt;&gt;"",M12=0),"When plans change, ","")</f>
        <v/>
      </c>
      <c r="AE12">
        <f>IF(AND(Enter!A12&lt;&gt;"",N12=0),"Incentives &amp; offers, ","")</f>
        <v/>
      </c>
      <c r="AF12">
        <f>IF(AND(Enter!A12&lt;&gt;"",O12=0),"Across the care team, ","")</f>
        <v/>
      </c>
      <c r="AH12" t="inlineStr"/>
      <c r="AI12" t="inlineStr"/>
      <c r="AJ12" t="inlineStr"/>
      <c r="AK12" t="inlineStr"/>
      <c r="AL12">
        <f>IF(Enter!S12="Automated end to end","Matching, ","")</f>
        <v/>
      </c>
      <c r="AM12">
        <f>IF(Enter!V12="Automated end to end","Routing &amp; the week, ","")</f>
        <v/>
      </c>
      <c r="AN12">
        <f>IF(Enter!Y12="Automated end to end","Exceptions, ","")</f>
        <v/>
      </c>
      <c r="AO12" t="inlineStr"/>
      <c r="AP12">
        <f>IF(Enter!AE12="Automated end to end","When plans change, ","")</f>
        <v/>
      </c>
      <c r="AQ12">
        <f>IF(Enter!AH12="Automated end to end","Incentives &amp; offers, ","")</f>
        <v/>
      </c>
      <c r="AR12">
        <f>IF(Enter!AK12="Automated end to end","Across the care team, ","")</f>
        <v/>
      </c>
    </row>
    <row r="13" ht="34" customHeight="1">
      <c r="A13" s="9">
        <f>IF(Enter!A13="","",Enter!A13)</f>
        <v/>
      </c>
      <c r="B13" s="10">
        <f>IF(Enter!A13="","",Enter!B13)</f>
        <v/>
      </c>
      <c r="C13" s="10">
        <f>IF(Enter!A13="","",Enter!C13)</f>
        <v/>
      </c>
      <c r="D13" s="10">
        <f>IF(Enter!A13="","",Enter!D13)</f>
        <v/>
      </c>
      <c r="E13" s="11">
        <f>IF(Enter!A13="","",IF(OR(Enter!E13="No",Enter!E13=""),0,IF(AND(Enter!E13="Yes",OR(Enter!F13="Production — multiple customers",Enter!F13="Production — one customer")),2,1)))</f>
        <v/>
      </c>
      <c r="F13" s="11">
        <f>IF(Enter!A13="","",IF(OR(Enter!H13="No",Enter!H13=""),0,IF(AND(Enter!H13="Yes",OR(Enter!I13="Production — multiple customers",Enter!I13="Production — one customer")),2,1)))</f>
        <v/>
      </c>
      <c r="G13" s="11">
        <f>IF(Enter!A13="","",IF(OR(Enter!K13="No",Enter!K13=""),0,IF(AND(Enter!K13="Yes",OR(Enter!L13="Production — multiple customers",Enter!L13="Production — one customer")),2,1)))</f>
        <v/>
      </c>
      <c r="H13" s="11">
        <f>IF(Enter!A13="","",IF(OR(Enter!N13="No",Enter!N13=""),0,IF(AND(Enter!N13="Yes",OR(Enter!O13="Production — multiple customers",Enter!O13="Production — one customer")),2,1)))</f>
        <v/>
      </c>
      <c r="I13" s="11">
        <f>IF(Enter!A13="","",IF(OR(Enter!Q13="No",Enter!Q13=""),0,IF(AND(Enter!Q13="Yes",OR(Enter!R13="Production — multiple customers",Enter!R13="Production — one customer")),2,1)))</f>
        <v/>
      </c>
      <c r="J13" s="11">
        <f>IF(Enter!A13="","",IF(OR(Enter!T13="No",Enter!T13=""),0,IF(AND(Enter!T13="Yes",OR(Enter!U13="Production — multiple customers",Enter!U13="Production — one customer")),2,1)))</f>
        <v/>
      </c>
      <c r="K13" s="11">
        <f>IF(Enter!A13="","",IF(OR(Enter!W13="No",Enter!W13=""),0,IF(AND(Enter!W13="Yes",OR(Enter!X13="Production — multiple customers",Enter!X13="Production — one customer")),2,1)))</f>
        <v/>
      </c>
      <c r="L13" s="11">
        <f>IF(Enter!A13="","",IF(OR(Enter!Z13="No",Enter!Z13=""),0,IF(AND(Enter!Z13="Yes",OR(Enter!AA13="Production — multiple customers",Enter!AA13="Production — one customer")),2,1)))</f>
        <v/>
      </c>
      <c r="M13" s="11">
        <f>IF(Enter!A13="","",IF(OR(Enter!AC13="No",Enter!AC13=""),0,IF(AND(Enter!AC13="Yes",OR(Enter!AD13="Production — multiple customers",Enter!AD13="Production — one customer")),2,1)))</f>
        <v/>
      </c>
      <c r="N13" s="11">
        <f>IF(Enter!A13="","",IF(OR(Enter!AF13="No",Enter!AF13=""),0,IF(AND(Enter!AF13="Yes",OR(Enter!AG13="Production — multiple customers",Enter!AG13="Production — one customer")),2,1)))</f>
        <v/>
      </c>
      <c r="O13" s="11">
        <f>IF(Enter!A13="","",IF(OR(Enter!AI13="No",Enter!AI13=""),0,IF(AND(Enter!AI13="Yes",OR(Enter!AJ13="Production — multiple customers",Enter!AJ13="Production — one customer")),2,1)))</f>
        <v/>
      </c>
      <c r="P13" s="12">
        <f>IF(Enter!A13="","",SUM(E13:O13))</f>
        <v/>
      </c>
      <c r="Q13" s="10">
        <f>IF(Enter!A13="","",TEXTJOIN(" ",TRUE,E13:O13))</f>
        <v/>
      </c>
      <c r="R13" s="9">
        <f>IF(Enter!A13="","",IF(LEN(CONCAT(V13:AF13))=0,"—",LEFT(CONCAT(V13:AF13),LEN(CONCAT(V13:AF13))-2)))</f>
        <v/>
      </c>
      <c r="S13" s="9">
        <f>IF(Enter!A13="","",IF(LEN(CONCAT(AH13:AR13))=0,"—",LEFT(CONCAT(AH13:AR13),LEN(CONCAT(AH13:AR13))-2)))</f>
        <v/>
      </c>
      <c r="T13" s="9">
        <f>IF(Enter!A13="","",Enter!AO13)</f>
        <v/>
      </c>
      <c r="V13">
        <f>IF(AND(Enter!A13&lt;&gt;"",E13=0),"Workforce supply, ","")</f>
        <v/>
      </c>
      <c r="W13">
        <f>IF(AND(Enter!A13&lt;&gt;"",F13=0),"Availability &amp; reach, ","")</f>
        <v/>
      </c>
      <c r="X13">
        <f>IF(AND(Enter!A13&lt;&gt;"",G13=0),"The capacity math, ","")</f>
        <v/>
      </c>
      <c r="Y13">
        <f>IF(AND(Enter!A13&lt;&gt;"",H13=0),"Demand, ","")</f>
        <v/>
      </c>
      <c r="Z13">
        <f>IF(AND(Enter!A13&lt;&gt;"",I13=0),"Matching, ","")</f>
        <v/>
      </c>
      <c r="AA13">
        <f>IF(AND(Enter!A13&lt;&gt;"",J13=0),"Routing &amp; the week, ","")</f>
        <v/>
      </c>
      <c r="AB13">
        <f>IF(AND(Enter!A13&lt;&gt;"",K13=0),"Exceptions, ","")</f>
        <v/>
      </c>
      <c r="AC13">
        <f>IF(AND(Enter!A13&lt;&gt;"",L13=0),"Before the visit, ","")</f>
        <v/>
      </c>
      <c r="AD13">
        <f>IF(AND(Enter!A13&lt;&gt;"",M13=0),"When plans change, ","")</f>
        <v/>
      </c>
      <c r="AE13">
        <f>IF(AND(Enter!A13&lt;&gt;"",N13=0),"Incentives &amp; offers, ","")</f>
        <v/>
      </c>
      <c r="AF13">
        <f>IF(AND(Enter!A13&lt;&gt;"",O13=0),"Across the care team, ","")</f>
        <v/>
      </c>
      <c r="AH13" t="inlineStr"/>
      <c r="AI13" t="inlineStr"/>
      <c r="AJ13" t="inlineStr"/>
      <c r="AK13" t="inlineStr"/>
      <c r="AL13">
        <f>IF(Enter!S13="Automated end to end","Matching, ","")</f>
        <v/>
      </c>
      <c r="AM13">
        <f>IF(Enter!V13="Automated end to end","Routing &amp; the week, ","")</f>
        <v/>
      </c>
      <c r="AN13">
        <f>IF(Enter!Y13="Automated end to end","Exceptions, ","")</f>
        <v/>
      </c>
      <c r="AO13" t="inlineStr"/>
      <c r="AP13">
        <f>IF(Enter!AE13="Automated end to end","When plans change, ","")</f>
        <v/>
      </c>
      <c r="AQ13">
        <f>IF(Enter!AH13="Automated end to end","Incentives &amp; offers, ","")</f>
        <v/>
      </c>
      <c r="AR13">
        <f>IF(Enter!AK13="Automated end to end","Across the care team, ","")</f>
        <v/>
      </c>
    </row>
    <row r="14" ht="34" customHeight="1">
      <c r="A14" s="9">
        <f>IF(Enter!A14="","",Enter!A14)</f>
        <v/>
      </c>
      <c r="B14" s="10">
        <f>IF(Enter!A14="","",Enter!B14)</f>
        <v/>
      </c>
      <c r="C14" s="10">
        <f>IF(Enter!A14="","",Enter!C14)</f>
        <v/>
      </c>
      <c r="D14" s="10">
        <f>IF(Enter!A14="","",Enter!D14)</f>
        <v/>
      </c>
      <c r="E14" s="11">
        <f>IF(Enter!A14="","",IF(OR(Enter!E14="No",Enter!E14=""),0,IF(AND(Enter!E14="Yes",OR(Enter!F14="Production — multiple customers",Enter!F14="Production — one customer")),2,1)))</f>
        <v/>
      </c>
      <c r="F14" s="11">
        <f>IF(Enter!A14="","",IF(OR(Enter!H14="No",Enter!H14=""),0,IF(AND(Enter!H14="Yes",OR(Enter!I14="Production — multiple customers",Enter!I14="Production — one customer")),2,1)))</f>
        <v/>
      </c>
      <c r="G14" s="11">
        <f>IF(Enter!A14="","",IF(OR(Enter!K14="No",Enter!K14=""),0,IF(AND(Enter!K14="Yes",OR(Enter!L14="Production — multiple customers",Enter!L14="Production — one customer")),2,1)))</f>
        <v/>
      </c>
      <c r="H14" s="11">
        <f>IF(Enter!A14="","",IF(OR(Enter!N14="No",Enter!N14=""),0,IF(AND(Enter!N14="Yes",OR(Enter!O14="Production — multiple customers",Enter!O14="Production — one customer")),2,1)))</f>
        <v/>
      </c>
      <c r="I14" s="11">
        <f>IF(Enter!A14="","",IF(OR(Enter!Q14="No",Enter!Q14=""),0,IF(AND(Enter!Q14="Yes",OR(Enter!R14="Production — multiple customers",Enter!R14="Production — one customer")),2,1)))</f>
        <v/>
      </c>
      <c r="J14" s="11">
        <f>IF(Enter!A14="","",IF(OR(Enter!T14="No",Enter!T14=""),0,IF(AND(Enter!T14="Yes",OR(Enter!U14="Production — multiple customers",Enter!U14="Production — one customer")),2,1)))</f>
        <v/>
      </c>
      <c r="K14" s="11">
        <f>IF(Enter!A14="","",IF(OR(Enter!W14="No",Enter!W14=""),0,IF(AND(Enter!W14="Yes",OR(Enter!X14="Production — multiple customers",Enter!X14="Production — one customer")),2,1)))</f>
        <v/>
      </c>
      <c r="L14" s="11">
        <f>IF(Enter!A14="","",IF(OR(Enter!Z14="No",Enter!Z14=""),0,IF(AND(Enter!Z14="Yes",OR(Enter!AA14="Production — multiple customers",Enter!AA14="Production — one customer")),2,1)))</f>
        <v/>
      </c>
      <c r="M14" s="11">
        <f>IF(Enter!A14="","",IF(OR(Enter!AC14="No",Enter!AC14=""),0,IF(AND(Enter!AC14="Yes",OR(Enter!AD14="Production — multiple customers",Enter!AD14="Production — one customer")),2,1)))</f>
        <v/>
      </c>
      <c r="N14" s="11">
        <f>IF(Enter!A14="","",IF(OR(Enter!AF14="No",Enter!AF14=""),0,IF(AND(Enter!AF14="Yes",OR(Enter!AG14="Production — multiple customers",Enter!AG14="Production — one customer")),2,1)))</f>
        <v/>
      </c>
      <c r="O14" s="11">
        <f>IF(Enter!A14="","",IF(OR(Enter!AI14="No",Enter!AI14=""),0,IF(AND(Enter!AI14="Yes",OR(Enter!AJ14="Production — multiple customers",Enter!AJ14="Production — one customer")),2,1)))</f>
        <v/>
      </c>
      <c r="P14" s="12">
        <f>IF(Enter!A14="","",SUM(E14:O14))</f>
        <v/>
      </c>
      <c r="Q14" s="10">
        <f>IF(Enter!A14="","",TEXTJOIN(" ",TRUE,E14:O14))</f>
        <v/>
      </c>
      <c r="R14" s="9">
        <f>IF(Enter!A14="","",IF(LEN(CONCAT(V14:AF14))=0,"—",LEFT(CONCAT(V14:AF14),LEN(CONCAT(V14:AF14))-2)))</f>
        <v/>
      </c>
      <c r="S14" s="9">
        <f>IF(Enter!A14="","",IF(LEN(CONCAT(AH14:AR14))=0,"—",LEFT(CONCAT(AH14:AR14),LEN(CONCAT(AH14:AR14))-2)))</f>
        <v/>
      </c>
      <c r="T14" s="9">
        <f>IF(Enter!A14="","",Enter!AO14)</f>
        <v/>
      </c>
      <c r="V14">
        <f>IF(AND(Enter!A14&lt;&gt;"",E14=0),"Workforce supply, ","")</f>
        <v/>
      </c>
      <c r="W14">
        <f>IF(AND(Enter!A14&lt;&gt;"",F14=0),"Availability &amp; reach, ","")</f>
        <v/>
      </c>
      <c r="X14">
        <f>IF(AND(Enter!A14&lt;&gt;"",G14=0),"The capacity math, ","")</f>
        <v/>
      </c>
      <c r="Y14">
        <f>IF(AND(Enter!A14&lt;&gt;"",H14=0),"Demand, ","")</f>
        <v/>
      </c>
      <c r="Z14">
        <f>IF(AND(Enter!A14&lt;&gt;"",I14=0),"Matching, ","")</f>
        <v/>
      </c>
      <c r="AA14">
        <f>IF(AND(Enter!A14&lt;&gt;"",J14=0),"Routing &amp; the week, ","")</f>
        <v/>
      </c>
      <c r="AB14">
        <f>IF(AND(Enter!A14&lt;&gt;"",K14=0),"Exceptions, ","")</f>
        <v/>
      </c>
      <c r="AC14">
        <f>IF(AND(Enter!A14&lt;&gt;"",L14=0),"Before the visit, ","")</f>
        <v/>
      </c>
      <c r="AD14">
        <f>IF(AND(Enter!A14&lt;&gt;"",M14=0),"When plans change, ","")</f>
        <v/>
      </c>
      <c r="AE14">
        <f>IF(AND(Enter!A14&lt;&gt;"",N14=0),"Incentives &amp; offers, ","")</f>
        <v/>
      </c>
      <c r="AF14">
        <f>IF(AND(Enter!A14&lt;&gt;"",O14=0),"Across the care team, ","")</f>
        <v/>
      </c>
      <c r="AH14" t="inlineStr"/>
      <c r="AI14" t="inlineStr"/>
      <c r="AJ14" t="inlineStr"/>
      <c r="AK14" t="inlineStr"/>
      <c r="AL14">
        <f>IF(Enter!S14="Automated end to end","Matching, ","")</f>
        <v/>
      </c>
      <c r="AM14">
        <f>IF(Enter!V14="Automated end to end","Routing &amp; the week, ","")</f>
        <v/>
      </c>
      <c r="AN14">
        <f>IF(Enter!Y14="Automated end to end","Exceptions, ","")</f>
        <v/>
      </c>
      <c r="AO14" t="inlineStr"/>
      <c r="AP14">
        <f>IF(Enter!AE14="Automated end to end","When plans change, ","")</f>
        <v/>
      </c>
      <c r="AQ14">
        <f>IF(Enter!AH14="Automated end to end","Incentives &amp; offers, ","")</f>
        <v/>
      </c>
      <c r="AR14">
        <f>IF(Enter!AK14="Automated end to end","Across the care team, ","")</f>
        <v/>
      </c>
    </row>
    <row r="15" ht="34" customHeight="1">
      <c r="A15" s="9">
        <f>IF(Enter!A15="","",Enter!A15)</f>
        <v/>
      </c>
      <c r="B15" s="10">
        <f>IF(Enter!A15="","",Enter!B15)</f>
        <v/>
      </c>
      <c r="C15" s="10">
        <f>IF(Enter!A15="","",Enter!C15)</f>
        <v/>
      </c>
      <c r="D15" s="10">
        <f>IF(Enter!A15="","",Enter!D15)</f>
        <v/>
      </c>
      <c r="E15" s="11">
        <f>IF(Enter!A15="","",IF(OR(Enter!E15="No",Enter!E15=""),0,IF(AND(Enter!E15="Yes",OR(Enter!F15="Production — multiple customers",Enter!F15="Production — one customer")),2,1)))</f>
        <v/>
      </c>
      <c r="F15" s="11">
        <f>IF(Enter!A15="","",IF(OR(Enter!H15="No",Enter!H15=""),0,IF(AND(Enter!H15="Yes",OR(Enter!I15="Production — multiple customers",Enter!I15="Production — one customer")),2,1)))</f>
        <v/>
      </c>
      <c r="G15" s="11">
        <f>IF(Enter!A15="","",IF(OR(Enter!K15="No",Enter!K15=""),0,IF(AND(Enter!K15="Yes",OR(Enter!L15="Production — multiple customers",Enter!L15="Production — one customer")),2,1)))</f>
        <v/>
      </c>
      <c r="H15" s="11">
        <f>IF(Enter!A15="","",IF(OR(Enter!N15="No",Enter!N15=""),0,IF(AND(Enter!N15="Yes",OR(Enter!O15="Production — multiple customers",Enter!O15="Production — one customer")),2,1)))</f>
        <v/>
      </c>
      <c r="I15" s="11">
        <f>IF(Enter!A15="","",IF(OR(Enter!Q15="No",Enter!Q15=""),0,IF(AND(Enter!Q15="Yes",OR(Enter!R15="Production — multiple customers",Enter!R15="Production — one customer")),2,1)))</f>
        <v/>
      </c>
      <c r="J15" s="11">
        <f>IF(Enter!A15="","",IF(OR(Enter!T15="No",Enter!T15=""),0,IF(AND(Enter!T15="Yes",OR(Enter!U15="Production — multiple customers",Enter!U15="Production — one customer")),2,1)))</f>
        <v/>
      </c>
      <c r="K15" s="11">
        <f>IF(Enter!A15="","",IF(OR(Enter!W15="No",Enter!W15=""),0,IF(AND(Enter!W15="Yes",OR(Enter!X15="Production — multiple customers",Enter!X15="Production — one customer")),2,1)))</f>
        <v/>
      </c>
      <c r="L15" s="11">
        <f>IF(Enter!A15="","",IF(OR(Enter!Z15="No",Enter!Z15=""),0,IF(AND(Enter!Z15="Yes",OR(Enter!AA15="Production — multiple customers",Enter!AA15="Production — one customer")),2,1)))</f>
        <v/>
      </c>
      <c r="M15" s="11">
        <f>IF(Enter!A15="","",IF(OR(Enter!AC15="No",Enter!AC15=""),0,IF(AND(Enter!AC15="Yes",OR(Enter!AD15="Production — multiple customers",Enter!AD15="Production — one customer")),2,1)))</f>
        <v/>
      </c>
      <c r="N15" s="11">
        <f>IF(Enter!A15="","",IF(OR(Enter!AF15="No",Enter!AF15=""),0,IF(AND(Enter!AF15="Yes",OR(Enter!AG15="Production — multiple customers",Enter!AG15="Production — one customer")),2,1)))</f>
        <v/>
      </c>
      <c r="O15" s="11">
        <f>IF(Enter!A15="","",IF(OR(Enter!AI15="No",Enter!AI15=""),0,IF(AND(Enter!AI15="Yes",OR(Enter!AJ15="Production — multiple customers",Enter!AJ15="Production — one customer")),2,1)))</f>
        <v/>
      </c>
      <c r="P15" s="12">
        <f>IF(Enter!A15="","",SUM(E15:O15))</f>
        <v/>
      </c>
      <c r="Q15" s="10">
        <f>IF(Enter!A15="","",TEXTJOIN(" ",TRUE,E15:O15))</f>
        <v/>
      </c>
      <c r="R15" s="9">
        <f>IF(Enter!A15="","",IF(LEN(CONCAT(V15:AF15))=0,"—",LEFT(CONCAT(V15:AF15),LEN(CONCAT(V15:AF15))-2)))</f>
        <v/>
      </c>
      <c r="S15" s="9">
        <f>IF(Enter!A15="","",IF(LEN(CONCAT(AH15:AR15))=0,"—",LEFT(CONCAT(AH15:AR15),LEN(CONCAT(AH15:AR15))-2)))</f>
        <v/>
      </c>
      <c r="T15" s="9">
        <f>IF(Enter!A15="","",Enter!AO15)</f>
        <v/>
      </c>
      <c r="V15">
        <f>IF(AND(Enter!A15&lt;&gt;"",E15=0),"Workforce supply, ","")</f>
        <v/>
      </c>
      <c r="W15">
        <f>IF(AND(Enter!A15&lt;&gt;"",F15=0),"Availability &amp; reach, ","")</f>
        <v/>
      </c>
      <c r="X15">
        <f>IF(AND(Enter!A15&lt;&gt;"",G15=0),"The capacity math, ","")</f>
        <v/>
      </c>
      <c r="Y15">
        <f>IF(AND(Enter!A15&lt;&gt;"",H15=0),"Demand, ","")</f>
        <v/>
      </c>
      <c r="Z15">
        <f>IF(AND(Enter!A15&lt;&gt;"",I15=0),"Matching, ","")</f>
        <v/>
      </c>
      <c r="AA15">
        <f>IF(AND(Enter!A15&lt;&gt;"",J15=0),"Routing &amp; the week, ","")</f>
        <v/>
      </c>
      <c r="AB15">
        <f>IF(AND(Enter!A15&lt;&gt;"",K15=0),"Exceptions, ","")</f>
        <v/>
      </c>
      <c r="AC15">
        <f>IF(AND(Enter!A15&lt;&gt;"",L15=0),"Before the visit, ","")</f>
        <v/>
      </c>
      <c r="AD15">
        <f>IF(AND(Enter!A15&lt;&gt;"",M15=0),"When plans change, ","")</f>
        <v/>
      </c>
      <c r="AE15">
        <f>IF(AND(Enter!A15&lt;&gt;"",N15=0),"Incentives &amp; offers, ","")</f>
        <v/>
      </c>
      <c r="AF15">
        <f>IF(AND(Enter!A15&lt;&gt;"",O15=0),"Across the care team, ","")</f>
        <v/>
      </c>
      <c r="AH15" t="inlineStr"/>
      <c r="AI15" t="inlineStr"/>
      <c r="AJ15" t="inlineStr"/>
      <c r="AK15" t="inlineStr"/>
      <c r="AL15">
        <f>IF(Enter!S15="Automated end to end","Matching, ","")</f>
        <v/>
      </c>
      <c r="AM15">
        <f>IF(Enter!V15="Automated end to end","Routing &amp; the week, ","")</f>
        <v/>
      </c>
      <c r="AN15">
        <f>IF(Enter!Y15="Automated end to end","Exceptions, ","")</f>
        <v/>
      </c>
      <c r="AO15" t="inlineStr"/>
      <c r="AP15">
        <f>IF(Enter!AE15="Automated end to end","When plans change, ","")</f>
        <v/>
      </c>
      <c r="AQ15">
        <f>IF(Enter!AH15="Automated end to end","Incentives &amp; offers, ","")</f>
        <v/>
      </c>
      <c r="AR15">
        <f>IF(Enter!AK15="Automated end to end","Across the care team, ","")</f>
        <v/>
      </c>
    </row>
  </sheetData>
  <conditionalFormatting sqref="E4:O15">
    <cfRule type="cellIs" priority="1" operator="equal" dxfId="0">
      <formula>0</formula>
    </cfRule>
    <cfRule type="cellIs" priority="2" operator="equal" dxfId="1">
      <formula>2</formula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  <c r="B1" t="inlineStr">
        <is>
          <t>Production — multiple customers</t>
        </is>
      </c>
      <c r="C1" t="inlineStr">
        <is>
          <t>Automated end to end</t>
        </is>
      </c>
      <c r="D1" t="inlineStr">
        <is>
          <t>Live feed from a source system</t>
        </is>
      </c>
      <c r="E1" t="inlineStr">
        <is>
          <t>Live-write</t>
        </is>
      </c>
    </row>
    <row r="2">
      <c r="A2" t="inlineStr">
        <is>
          <t>Through a partner</t>
        </is>
      </c>
      <c r="B2" t="inlineStr">
        <is>
          <t>Production — one customer</t>
        </is>
      </c>
      <c r="C2" t="inlineStr">
        <is>
          <t>Automated, person approves</t>
        </is>
      </c>
      <c r="D2" t="inlineStr">
        <is>
          <t>Imported on a schedule</t>
        </is>
      </c>
      <c r="E2" t="inlineStr">
        <is>
          <t>Live-read</t>
        </is>
      </c>
    </row>
    <row r="3">
      <c r="A3" t="inlineStr">
        <is>
          <t>No</t>
        </is>
      </c>
      <c r="B3" t="inlineStr">
        <is>
          <t>In development — target date in notes</t>
        </is>
      </c>
      <c r="C3" t="inlineStr">
        <is>
          <t>System prepares it, person does it</t>
        </is>
      </c>
      <c r="D3" t="inlineStr">
        <is>
          <t>Maintained by staff in your product</t>
        </is>
      </c>
      <c r="E3" t="inlineStr">
        <is>
          <t>Building</t>
        </is>
      </c>
    </row>
    <row r="4">
      <c r="A4" t="inlineStr">
        <is>
          <t>Other — see notes</t>
        </is>
      </c>
      <c r="B4" t="inlineStr">
        <is>
          <t>Roadmap — no date yet</t>
        </is>
      </c>
      <c r="C4" t="inlineStr">
        <is>
          <t>Person does it</t>
        </is>
      </c>
      <c r="D4" t="inlineStr">
        <is>
          <t>Entered by the clinician</t>
        </is>
      </c>
      <c r="E4" t="inlineStr">
        <is>
          <t>None</t>
        </is>
      </c>
    </row>
    <row r="5">
      <c r="B5" t="inlineStr">
        <is>
          <t>Other — see notes</t>
        </is>
      </c>
      <c r="C5" t="inlineStr">
        <is>
          <t>Other — see notes</t>
        </is>
      </c>
      <c r="D5" t="inlineStr">
        <is>
          <t>Derived from FT/PT allocation</t>
        </is>
      </c>
    </row>
    <row r="6">
      <c r="D6" t="inlineStr">
        <is>
          <t>Other — see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3B57"/>
    <outlinePr summaryBelow="1" summaryRight="1"/>
    <pageSetUpPr/>
  </sheetPr>
  <dimension ref="A1:AR15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3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30" customWidth="1" min="38" max="38"/>
    <col width="30" customWidth="1" min="39" max="39"/>
    <col width="30" customWidth="1" min="40" max="40"/>
    <col width="34" customWidth="1" min="41" max="41"/>
    <col width="30" customWidth="1" min="42" max="42"/>
    <col width="30" customWidth="1" min="43" max="43"/>
    <col width="30" customWidth="1" min="44" max="44"/>
  </cols>
  <sheetData>
    <row r="1" ht="22" customHeight="1">
      <c r="A1" s="1" t="inlineStr">
        <is>
          <t>Vendor scoring — enter the marks here</t>
        </is>
      </c>
    </row>
    <row r="2">
      <c r="A2" s="2" t="inlineStr">
        <is>
          <t>One row per vendor. Only the cream cells are typed in. Everything computed lives on the Compare tab.</t>
        </is>
      </c>
      <c r="E2" s="3" t="inlineStr">
        <is>
          <t>1. Workforce supply</t>
        </is>
      </c>
      <c r="H2" s="3" t="inlineStr">
        <is>
          <t>2. Availability &amp; reach</t>
        </is>
      </c>
      <c r="K2" s="3" t="inlineStr">
        <is>
          <t>3. The capacity math</t>
        </is>
      </c>
      <c r="N2" s="3" t="inlineStr">
        <is>
          <t>4. Demand</t>
        </is>
      </c>
      <c r="Q2" s="3" t="inlineStr">
        <is>
          <t>5. Matching</t>
        </is>
      </c>
      <c r="T2" s="3" t="inlineStr">
        <is>
          <t>6. Routing &amp; the week</t>
        </is>
      </c>
      <c r="W2" s="3" t="inlineStr">
        <is>
          <t>7. Exceptions</t>
        </is>
      </c>
      <c r="Z2" s="3" t="inlineStr">
        <is>
          <t>8. Before the visit</t>
        </is>
      </c>
      <c r="AC2" s="3" t="inlineStr">
        <is>
          <t>9. When plans change</t>
        </is>
      </c>
      <c r="AF2" s="3" t="inlineStr">
        <is>
          <t>10. Incentives &amp; offers</t>
        </is>
      </c>
      <c r="AI2" s="3" t="inlineStr">
        <is>
          <t>11. Across the care team</t>
        </is>
      </c>
    </row>
    <row r="3" ht="26" customHeight="1">
      <c r="A3" s="4" t="inlineStr">
        <is>
          <t>VENDOR</t>
        </is>
      </c>
      <c r="B3" s="4" t="inlineStr">
        <is>
          <t>HCHB</t>
        </is>
      </c>
      <c r="C3" s="4" t="inlineStr">
        <is>
          <t>HH CUST</t>
        </is>
      </c>
      <c r="D3" s="4" t="inlineStr">
        <is>
          <t>TOP CENSUS</t>
        </is>
      </c>
      <c r="E3" s="4" t="inlineStr">
        <is>
          <t>SCOPE</t>
        </is>
      </c>
      <c r="F3" s="5" t="inlineStr">
        <is>
          <t>STATUS</t>
        </is>
      </c>
      <c r="G3" s="5" t="inlineStr">
        <is>
          <t>HOW</t>
        </is>
      </c>
      <c r="H3" s="4" t="inlineStr">
        <is>
          <t>SCOPE</t>
        </is>
      </c>
      <c r="I3" s="5" t="inlineStr">
        <is>
          <t>STATUS</t>
        </is>
      </c>
      <c r="J3" s="5" t="inlineStr">
        <is>
          <t>HOW</t>
        </is>
      </c>
      <c r="K3" s="4" t="inlineStr">
        <is>
          <t>SCOPE</t>
        </is>
      </c>
      <c r="L3" s="5" t="inlineStr">
        <is>
          <t>STATUS</t>
        </is>
      </c>
      <c r="M3" s="5" t="inlineStr">
        <is>
          <t>HOW</t>
        </is>
      </c>
      <c r="N3" s="4" t="inlineStr">
        <is>
          <t>SCOPE</t>
        </is>
      </c>
      <c r="O3" s="5" t="inlineStr">
        <is>
          <t>STATUS</t>
        </is>
      </c>
      <c r="P3" s="5" t="inlineStr">
        <is>
          <t>HOW</t>
        </is>
      </c>
      <c r="Q3" s="4" t="inlineStr">
        <is>
          <t>SCOPE</t>
        </is>
      </c>
      <c r="R3" s="5" t="inlineStr">
        <is>
          <t>STATUS</t>
        </is>
      </c>
      <c r="S3" s="5" t="inlineStr">
        <is>
          <t>HOW</t>
        </is>
      </c>
      <c r="T3" s="4" t="inlineStr">
        <is>
          <t>SCOPE</t>
        </is>
      </c>
      <c r="U3" s="5" t="inlineStr">
        <is>
          <t>STATUS</t>
        </is>
      </c>
      <c r="V3" s="5" t="inlineStr">
        <is>
          <t>HOW</t>
        </is>
      </c>
      <c r="W3" s="4" t="inlineStr">
        <is>
          <t>SCOPE</t>
        </is>
      </c>
      <c r="X3" s="5" t="inlineStr">
        <is>
          <t>STATUS</t>
        </is>
      </c>
      <c r="Y3" s="5" t="inlineStr">
        <is>
          <t>HOW</t>
        </is>
      </c>
      <c r="Z3" s="4" t="inlineStr">
        <is>
          <t>SCOPE</t>
        </is>
      </c>
      <c r="AA3" s="5" t="inlineStr">
        <is>
          <t>STATUS</t>
        </is>
      </c>
      <c r="AB3" s="5" t="inlineStr">
        <is>
          <t>HOW</t>
        </is>
      </c>
      <c r="AC3" s="4" t="inlineStr">
        <is>
          <t>SCOPE</t>
        </is>
      </c>
      <c r="AD3" s="5" t="inlineStr">
        <is>
          <t>STATUS</t>
        </is>
      </c>
      <c r="AE3" s="5" t="inlineStr">
        <is>
          <t>HOW</t>
        </is>
      </c>
      <c r="AF3" s="4" t="inlineStr">
        <is>
          <t>SCOPE</t>
        </is>
      </c>
      <c r="AG3" s="5" t="inlineStr">
        <is>
          <t>STATUS</t>
        </is>
      </c>
      <c r="AH3" s="5" t="inlineStr">
        <is>
          <t>HOW</t>
        </is>
      </c>
      <c r="AI3" s="4" t="inlineStr">
        <is>
          <t>SCOPE</t>
        </is>
      </c>
      <c r="AJ3" s="5" t="inlineStr">
        <is>
          <t>STATUS</t>
        </is>
      </c>
      <c r="AK3" s="5" t="inlineStr">
        <is>
          <t>HOW</t>
        </is>
      </c>
      <c r="AL3" s="6" t="inlineStr">
        <is>
          <t>IMPACT (A3)</t>
        </is>
      </c>
      <c r="AM3" s="6" t="inlineStr">
        <is>
          <t>CONTINUITY (C6)</t>
        </is>
      </c>
      <c r="AN3" s="6" t="inlineStr">
        <is>
          <t>CONTRADICTIONS</t>
        </is>
      </c>
      <c r="AO3" s="6" t="inlineStr">
        <is>
          <t>WHAT THEY ARE (&lt;=20 words)</t>
        </is>
      </c>
      <c r="AP3" s="6" t="inlineStr">
        <is>
          <t>CALL Q1</t>
        </is>
      </c>
      <c r="AQ3" s="6" t="inlineStr">
        <is>
          <t>CALL Q2</t>
        </is>
      </c>
      <c r="AR3" s="6" t="inlineStr">
        <is>
          <t>CALL Q3</t>
        </is>
      </c>
    </row>
    <row r="4" ht="30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</row>
    <row r="5" ht="30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</row>
    <row r="6" ht="3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</row>
    <row r="7" ht="3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</row>
    <row r="8" ht="3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</row>
    <row r="9" ht="3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</row>
    <row r="10" ht="3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</row>
    <row r="11" ht="3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</row>
    <row r="12" ht="3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</row>
    <row r="13" ht="3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</row>
    <row r="14" ht="3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</row>
    <row r="15" ht="3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</row>
  </sheetData>
  <mergeCells count="11">
    <mergeCell ref="T2:V2"/>
    <mergeCell ref="Z2:AB2"/>
    <mergeCell ref="AI2:AK2"/>
    <mergeCell ref="E2:G2"/>
    <mergeCell ref="K2:M2"/>
    <mergeCell ref="N2:P2"/>
    <mergeCell ref="AC2:AE2"/>
    <mergeCell ref="AF2:AH2"/>
    <mergeCell ref="H2:J2"/>
    <mergeCell ref="Q2:S2"/>
    <mergeCell ref="W2:Y2"/>
  </mergeCells>
  <dataValidations count="34">
    <dataValidation sqref="B4:B15" showDropDown="0" showInputMessage="1" showErrorMessage="1" allowBlank="1" errorTitle="Not on the list" error="Live-write · Live-read · Building · None" promptTitle="Pick from the list" prompt="Live-write · Live-read · Building · None" type="list">
      <formula1>HchbList</formula1>
    </dataValidation>
    <dataValidation sqref="E4:E15" showDropDown="0" showInputMessage="1" showErrorMessage="1" allowBlank="1" errorTitle="Not on the list" error="Yes · Through a partner · No · Other — see notes" promptTitle="Pick from the list" prompt="Yes · Through a partner · No · Other — see notes" type="list">
      <formula1>ScopeList</formula1>
    </dataValidation>
    <dataValidation sqref="F4:F15" showDropDown="0" showInputMessage="1" showErrorMessage="1" allowBlank="1" errorTitle="Not on the list" error="Production — multiple customers · Production — one customer · In development — target date in notes · Roadmap — no date yet · Other — see notes" promptTitle="Pick from the list" prompt="Production — multiple customers · Production — one customer · In development — target date in notes · Roadmap — no date yet · Other — see notes" type="list">
      <formula1>StatusList</formula1>
    </dataValidation>
    <dataValidation sqref="G4:G15" showDropDown="0" showInputMessage="1" showErrorMessage="1" allowBlank="1" errorTitle="Not on the list" error="Live feed from a source system · Imported on a schedule · Maintained by staff in your product · Entered by the clinician · Derived from FT/PT allocation · Other — see notes" promptTitle="Pick from the list" prompt="Live feed from a source system · Imported on a schedule · Maintained by staff in your product · Entered by the clinician · Derived from FT/PT allocation · Other — see notes" type="list">
      <formula1>CapInList</formula1>
    </dataValidation>
    <dataValidation sqref="H4:H15" showDropDown="0" showInputMessage="1" showErrorMessage="1" allowBlank="1" errorTitle="Not on the list" error="Yes · Through a partner · No · Other — see notes" promptTitle="Pick from the list" prompt="Yes · Through a partner · No · Other — see notes" type="list">
      <formula1>ScopeList</formula1>
    </dataValidation>
    <dataValidation sqref="I4:I15" showDropDown="0" showInputMessage="1" showErrorMessage="1" allowBlank="1" errorTitle="Not on the list" error="Production — multiple customers · Production — one customer · In development — target date in notes · Roadmap — no date yet · Other — see notes" promptTitle="Pick from the list" prompt="Production — multiple customers · Production — one customer · In development — target date in notes · Roadmap — no date yet · Other — see notes" type="list">
      <formula1>StatusList</formula1>
    </dataValidation>
    <dataValidation sqref="J4:J15" showDropDown="0" showInputMessage="1" showErrorMessage="1" allowBlank="1" errorTitle="Not on the list" error="Live feed from a source system · Imported on a schedule · Maintained by staff in your product · Entered by the clinician · Derived from FT/PT allocation · Other — see notes" promptTitle="Pick from the list" prompt="Live feed from a source system · Imported on a schedule · Maintained by staff in your product · Entered by the clinician · Derived from FT/PT allocation · Other — see notes" type="list">
      <formula1>CapInList</formula1>
    </dataValidation>
    <dataValidation sqref="K4:K15" showDropDown="0" showInputMessage="1" showErrorMessage="1" allowBlank="1" errorTitle="Not on the list" error="Yes · Through a partner · No · Other — see notes" promptTitle="Pick from the list" prompt="Yes · Through a partner · No · Other — see notes" type="list">
      <formula1>ScopeList</formula1>
    </dataValidation>
    <dataValidation sqref="L4:L15" showDropDown="0" showInputMessage="1" showErrorMessage="1" allowBlank="1" errorTitle="Not on the list" error="Production — multiple customers · Production — one customer · In development — target date in notes · Roadmap — no date yet · Other — see notes" promptTitle="Pick from the list" prompt="Production — multiple customers · Production — one customer · In development — target date in notes · Roadmap — no date yet · Other — see notes" type="list">
      <formula1>StatusList</formula1>
    </dataValidation>
    <dataValidation sqref="M4:M15" showDropDown="0" showInputMessage="1" showErrorMessage="1" allowBlank="1" errorTitle="Not on the list" error="Live feed from a source system · Imported on a schedule · Maintained by staff in your product · Entered by the clinician · Derived from FT/PT allocation · Other — see notes" promptTitle="Pick from the list" prompt="Live feed from a source system · Imported on a schedule · Maintained by staff in your product · Entered by the clinician · Derived from FT/PT allocation · Other — see notes" type="list">
      <formula1>CapInList</formula1>
    </dataValidation>
    <dataValidation sqref="N4:N15" showDropDown="0" showInputMessage="1" showErrorMessage="1" allowBlank="1" errorTitle="Not on the list" error="Yes · Through a partner · No · Other — see notes" promptTitle="Pick from the list" prompt="Yes · Through a partner · No · Other — see notes" type="list">
      <formula1>ScopeList</formula1>
    </dataValidation>
    <dataValidation sqref="O4:O15" showDropDown="0" showInputMessage="1" showErrorMessage="1" allowBlank="1" errorTitle="Not on the list" error="Production — multiple customers · Production — one customer · In development — target date in notes · Roadmap — no date yet · Other — see notes" promptTitle="Pick from the list" prompt="Production — multiple customers · Production — one customer · In development — target date in notes · Roadmap — no date yet · Other — see notes" type="list">
      <formula1>StatusList</formula1>
    </dataValidation>
    <dataValidation sqref="P4:P15" showDropDown="0" showInputMessage="1" showErrorMessage="1" allowBlank="1" errorTitle="Not on the list" error="Automated end to end · Automated, person approves · System prepares it, person does it · Person does it · Other — see notes" promptTitle="Pick from the list" prompt="Automated end to end · Automated, person approves · System prepares it, person does it · Person does it · Other — see notes" type="list">
      <formula1>DelivList</formula1>
    </dataValidation>
    <dataValidation sqref="Q4:Q15" showDropDown="0" showInputMessage="1" showErrorMessage="1" allowBlank="1" errorTitle="Not on the list" error="Yes · Through a partner · No · Other — see notes" promptTitle="Pick from the list" prompt="Yes · Through a partner · No · Other — see notes" type="list">
      <formula1>ScopeList</formula1>
    </dataValidation>
    <dataValidation sqref="R4:R15" showDropDown="0" showInputMessage="1" showErrorMessage="1" allowBlank="1" errorTitle="Not on the list" error="Production — multiple customers · Production — one customer · In development — target date in notes · Roadmap — no date yet · Other — see notes" promptTitle="Pick from the list" prompt="Production — multiple customers · Production — one customer · In development — target date in notes · Roadmap — no date yet · Other — see notes" type="list">
      <formula1>StatusList</formula1>
    </dataValidation>
    <dataValidation sqref="S4:S15" showDropDown="0" showInputMessage="1" showErrorMessage="1" allowBlank="1" errorTitle="Not on the list" error="Automated end to end · Automated, person approves · System prepares it, person does it · Person does it · Other — see notes" promptTitle="Pick from the list" prompt="Automated end to end · Automated, person approves · System prepares it, person does it · Person does it · Other — see notes" type="list">
      <formula1>DelivList</formula1>
    </dataValidation>
    <dataValidation sqref="T4:T15" showDropDown="0" showInputMessage="1" showErrorMessage="1" allowBlank="1" errorTitle="Not on the list" error="Yes · Through a partner · No · Other — see notes" promptTitle="Pick from the list" prompt="Yes · Through a partner · No · Other — see notes" type="list">
      <formula1>ScopeList</formula1>
    </dataValidation>
    <dataValidation sqref="U4:U15" showDropDown="0" showInputMessage="1" showErrorMessage="1" allowBlank="1" errorTitle="Not on the list" error="Production — multiple customers · Production — one customer · In development — target date in notes · Roadmap — no date yet · Other — see notes" promptTitle="Pick from the list" prompt="Production — multiple customers · Production — one customer · In development — target date in notes · Roadmap — no date yet · Other — see notes" type="list">
      <formula1>StatusList</formula1>
    </dataValidation>
    <dataValidation sqref="V4:V15" showDropDown="0" showInputMessage="1" showErrorMessage="1" allowBlank="1" errorTitle="Not on the list" error="Automated end to end · Automated, person approves · System prepares it, person does it · Person does it · Other — see notes" promptTitle="Pick from the list" prompt="Automated end to end · Automated, person approves · System prepares it, person does it · Person does it · Other — see notes" type="list">
      <formula1>DelivList</formula1>
    </dataValidation>
    <dataValidation sqref="W4:W15" showDropDown="0" showInputMessage="1" showErrorMessage="1" allowBlank="1" errorTitle="Not on the list" error="Yes · Through a partner · No · Other — see notes" promptTitle="Pick from the list" prompt="Yes · Through a partner · No · Other — see notes" type="list">
      <formula1>ScopeList</formula1>
    </dataValidation>
    <dataValidation sqref="X4:X15" showDropDown="0" showInputMessage="1" showErrorMessage="1" allowBlank="1" errorTitle="Not on the list" error="Production — multiple customers · Production — one customer · In development — target date in notes · Roadmap — no date yet · Other — see notes" promptTitle="Pick from the list" prompt="Production — multiple customers · Production — one customer · In development — target date in notes · Roadmap — no date yet · Other — see notes" type="list">
      <formula1>StatusList</formula1>
    </dataValidation>
    <dataValidation sqref="Y4:Y15" showDropDown="0" showInputMessage="1" showErrorMessage="1" allowBlank="1" errorTitle="Not on the list" error="Automated end to end · Automated, person approves · System prepares it, person does it · Person does it · Other — see notes" promptTitle="Pick from the list" prompt="Automated end to end · Automated, person approves · System prepares it, person does it · Person does it · Other — see notes" type="list">
      <formula1>DelivList</formula1>
    </dataValidation>
    <dataValidation sqref="Z4:Z15" showDropDown="0" showInputMessage="1" showErrorMessage="1" allowBlank="1" errorTitle="Not on the list" error="Yes · Through a partner · No · Other — see notes" promptTitle="Pick from the list" prompt="Yes · Through a partner · No · Other — see notes" type="list">
      <formula1>ScopeList</formula1>
    </dataValidation>
    <dataValidation sqref="AA4:AA15" showDropDown="0" showInputMessage="1" showErrorMessage="1" allowBlank="1" errorTitle="Not on the list" error="Production — multiple customers · Production — one customer · In development — target date in notes · Roadmap — no date yet · Other — see notes" promptTitle="Pick from the list" prompt="Production — multiple customers · Production — one customer · In development — target date in notes · Roadmap — no date yet · Other — see notes" type="list">
      <formula1>StatusList</formula1>
    </dataValidation>
    <dataValidation sqref="AB4:AB15" showDropDown="0" showInputMessage="1" showErrorMessage="1" allowBlank="1" errorTitle="Not on the list" error="Automated end to end · Automated, person approves · System prepares it, person does it · Person does it · Other — see notes" promptTitle="Pick from the list" prompt="Automated end to end · Automated, person approves · System prepares it, person does it · Person does it · Other — see notes" type="list">
      <formula1>DelivList</formula1>
    </dataValidation>
    <dataValidation sqref="AC4:AC15" showDropDown="0" showInputMessage="1" showErrorMessage="1" allowBlank="1" errorTitle="Not on the list" error="Yes · Through a partner · No · Other — see notes" promptTitle="Pick from the list" prompt="Yes · Through a partner · No · Other — see notes" type="list">
      <formula1>ScopeList</formula1>
    </dataValidation>
    <dataValidation sqref="AD4:AD15" showDropDown="0" showInputMessage="1" showErrorMessage="1" allowBlank="1" errorTitle="Not on the list" error="Production — multiple customers · Production — one customer · In development — target date in notes · Roadmap — no date yet · Other — see notes" promptTitle="Pick from the list" prompt="Production — multiple customers · Production — one customer · In development — target date in notes · Roadmap — no date yet · Other — see notes" type="list">
      <formula1>StatusList</formula1>
    </dataValidation>
    <dataValidation sqref="AE4:AE15" showDropDown="0" showInputMessage="1" showErrorMessage="1" allowBlank="1" errorTitle="Not on the list" error="Automated end to end · Automated, person approves · System prepares it, person does it · Person does it · Other — see notes" promptTitle="Pick from the list" prompt="Automated end to end · Automated, person approves · System prepares it, person does it · Person does it · Other — see notes" type="list">
      <formula1>DelivList</formula1>
    </dataValidation>
    <dataValidation sqref="AF4:AF15" showDropDown="0" showInputMessage="1" showErrorMessage="1" allowBlank="1" errorTitle="Not on the list" error="Yes · Through a partner · No · Other — see notes" promptTitle="Pick from the list" prompt="Yes · Through a partner · No · Other — see notes" type="list">
      <formula1>ScopeList</formula1>
    </dataValidation>
    <dataValidation sqref="AG4:AG15" showDropDown="0" showInputMessage="1" showErrorMessage="1" allowBlank="1" errorTitle="Not on the list" error="Production — multiple customers · Production — one customer · In development — target date in notes · Roadmap — no date yet · Other — see notes" promptTitle="Pick from the list" prompt="Production — multiple customers · Production — one customer · In development — target date in notes · Roadmap — no date yet · Other — see notes" type="list">
      <formula1>StatusList</formula1>
    </dataValidation>
    <dataValidation sqref="AH4:AH15" showDropDown="0" showInputMessage="1" showErrorMessage="1" allowBlank="1" errorTitle="Not on the list" error="Automated end to end · Automated, person approves · System prepares it, person does it · Person does it · Other — see notes" promptTitle="Pick from the list" prompt="Automated end to end · Automated, person approves · System prepares it, person does it · Person does it · Other — see notes" type="list">
      <formula1>DelivList</formula1>
    </dataValidation>
    <dataValidation sqref="AI4:AI15" showDropDown="0" showInputMessage="1" showErrorMessage="1" allowBlank="1" errorTitle="Not on the list" error="Yes · Through a partner · No · Other — see notes" promptTitle="Pick from the list" prompt="Yes · Through a partner · No · Other — see notes" type="list">
      <formula1>ScopeList</formula1>
    </dataValidation>
    <dataValidation sqref="AJ4:AJ15" showDropDown="0" showInputMessage="1" showErrorMessage="1" allowBlank="1" errorTitle="Not on the list" error="Production — multiple customers · Production — one customer · In development — target date in notes · Roadmap — no date yet · Other — see notes" promptTitle="Pick from the list" prompt="Production — multiple customers · Production — one customer · In development — target date in notes · Roadmap — no date yet · Other — see notes" type="list">
      <formula1>StatusList</formula1>
    </dataValidation>
    <dataValidation sqref="AK4:AK15" showDropDown="0" showInputMessage="1" showErrorMessage="1" allowBlank="1" errorTitle="Not on the list" error="Automated end to end · Automated, person approves · System prepares it, person does it · Person does it · Other — see notes" promptTitle="Pick from the list" prompt="Automated end to end · Automated, person approves · System prepares it, person does it · Person does it · Other — see notes" type="list">
      <formula1>DelivList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2026-08-27T21:52:42Z</dcterms:created>
  <dcterms:modified xmlns:dcterms="http://purl.org/dc/terms/" xmlns:xsi="http://www.w3.org/2001/XMLSchema-instance" xsi:type="dcterms:W3CDTF">2026-08-27T21:52:42Z</dcterms:modified>
</cp:coreProperties>
</file>