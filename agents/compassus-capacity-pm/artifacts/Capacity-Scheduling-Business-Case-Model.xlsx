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igh\flowbuild\"/>
    </mc:Choice>
  </mc:AlternateContent>
  <xr:revisionPtr revIDLastSave="0" documentId="13_ncr:1_{902E8DE5-4A27-4CD3-A2DC-511726BCFF4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ADME" sheetId="1" r:id="rId1"/>
    <sheet name="Inputs" sheetId="2" r:id="rId2"/>
    <sheet name="Levers" sheetId="3" r:id="rId3"/>
    <sheet name="Cost" sheetId="4" r:id="rId4"/>
    <sheet name="Summary" sheetId="5" r:id="rId5"/>
    <sheet name="Baseline" sheetId="6" r:id="rId6"/>
  </sheets>
  <calcPr calcId="181029"/>
</workbook>
</file>

<file path=xl/calcChain.xml><?xml version="1.0" encoding="utf-8"?>
<calcChain xmlns="http://schemas.openxmlformats.org/spreadsheetml/2006/main">
  <c r="A23" i="5" l="1"/>
  <c r="A22" i="5"/>
  <c r="A21" i="5"/>
  <c r="A20" i="5"/>
  <c r="A19" i="5"/>
  <c r="A18" i="5"/>
  <c r="A17" i="5"/>
  <c r="D7" i="5"/>
  <c r="C7" i="5"/>
  <c r="B7" i="5"/>
  <c r="D6" i="5"/>
  <c r="C6" i="5"/>
  <c r="B6" i="5"/>
  <c r="A2" i="5"/>
  <c r="D11" i="3"/>
  <c r="C11" i="3"/>
  <c r="B11" i="3"/>
  <c r="D10" i="3"/>
  <c r="C10" i="3"/>
  <c r="B10" i="3"/>
  <c r="D9" i="3"/>
  <c r="C9" i="3"/>
  <c r="B9" i="3"/>
  <c r="D8" i="3"/>
  <c r="C8" i="3"/>
  <c r="B8" i="3"/>
  <c r="D7" i="3"/>
  <c r="C7" i="3"/>
  <c r="B7" i="3"/>
  <c r="D6" i="3"/>
  <c r="C6" i="3"/>
  <c r="B6" i="3"/>
  <c r="D5" i="3"/>
  <c r="C5" i="3"/>
  <c r="B5" i="3"/>
  <c r="B64" i="2"/>
  <c r="D11" i="4" s="1"/>
  <c r="B61" i="2"/>
  <c r="B12" i="2"/>
  <c r="D12" i="3" l="1"/>
  <c r="B12" i="3"/>
  <c r="B23" i="5"/>
  <c r="C12" i="3"/>
  <c r="D5" i="5" s="1"/>
  <c r="D8" i="5" s="1"/>
  <c r="C12" i="4"/>
  <c r="E12" i="4" s="1"/>
  <c r="B18" i="5"/>
  <c r="B5" i="4"/>
  <c r="B6" i="4"/>
  <c r="E6" i="4" s="1"/>
  <c r="B7" i="4"/>
  <c r="E7" i="4" s="1"/>
  <c r="B21" i="5"/>
  <c r="B5" i="5"/>
  <c r="B8" i="5" s="1"/>
  <c r="B8" i="4"/>
  <c r="B11" i="4"/>
  <c r="B22" i="5"/>
  <c r="C9" i="4"/>
  <c r="D9" i="4"/>
  <c r="B19" i="5"/>
  <c r="B10" i="4"/>
  <c r="B20" i="5"/>
  <c r="C10" i="4"/>
  <c r="D10" i="4"/>
  <c r="C8" i="4"/>
  <c r="C11" i="4"/>
  <c r="B9" i="4"/>
  <c r="D8" i="4"/>
  <c r="B17" i="5"/>
  <c r="B24" i="5" l="1"/>
  <c r="C5" i="5"/>
  <c r="C8" i="5" s="1"/>
  <c r="E11" i="4"/>
  <c r="D13" i="4"/>
  <c r="D9" i="5" s="1"/>
  <c r="D10" i="5" s="1"/>
  <c r="E8" i="4"/>
  <c r="E8" i="5"/>
  <c r="E9" i="4"/>
  <c r="C13" i="4"/>
  <c r="C9" i="5" s="1"/>
  <c r="C10" i="5" s="1"/>
  <c r="E10" i="4"/>
  <c r="E5" i="4"/>
  <c r="E13" i="4" s="1"/>
  <c r="E9" i="5" s="1"/>
  <c r="B13" i="4"/>
  <c r="B9" i="5" s="1"/>
  <c r="B10" i="5" s="1"/>
  <c r="B11" i="5" s="1"/>
  <c r="C11" i="5" s="1"/>
  <c r="D11" i="5" s="1"/>
  <c r="B14" i="5" s="1"/>
  <c r="E10" i="5" l="1"/>
  <c r="B13" i="5" s="1"/>
</calcChain>
</file>

<file path=xl/sharedStrings.xml><?xml version="1.0" encoding="utf-8"?>
<sst xmlns="http://schemas.openxmlformats.org/spreadsheetml/2006/main" count="376" uniqueCount="270">
  <si>
    <t>Capacity &amp; Scheduling — Business Case Model</t>
  </si>
  <si>
    <t>Purpose</t>
  </si>
  <si>
    <t>Size the initiative from editable drivers rather than from a fixed conclusion. Change any blue cell and every downstream number moves.</t>
  </si>
  <si>
    <t>Colour legend</t>
  </si>
  <si>
    <t>BLUE = an input you may edit.  BLACK = a formula, do not overwrite.  GREEN = a link to another sheet.  YELLOW FILL = unresolved or invented, must be replaced before external use.</t>
  </si>
  <si>
    <t>Sheets</t>
  </si>
  <si>
    <t>Inputs — every driver, with source and confidence.  Levers — the seven value levers, min/mod/max.  Cost — three-year cost of ownership.  Summary — net position, payback, and the waterfall.  Baseline — what must be measured before any of this is committed.</t>
  </si>
  <si>
    <t>Scenario</t>
  </si>
  <si>
    <t>Two independent selectors on Inputs: B60 sets the BENEFIT scenario, B63 sets the COST scenario. They are deliberately separate — an ambitious benefit case does not require an ambitious spend case, and the honest question is usually Mod benefit against Max cost. Levers always shows all three columns.</t>
  </si>
  <si>
    <t>Conventions</t>
  </si>
  <si>
    <t>Where the 8.13 workbook has an assumption, this model uses it, so the two reconcile. Where it does not, the source is named on the Inputs sheet.</t>
  </si>
  <si>
    <t>Two attribution rules</t>
  </si>
  <si>
    <t>1. Admissions and routine-visit throughput are SEPARATE pools — SOC-capable clinicians versus paraprofessionals — and are additive, not double counted.  2. Routine throughput is valued on the NON-EPISODIC book only. Above the LUPA floor an extra episodic visit earns nothing.</t>
  </si>
  <si>
    <t>Health warning</t>
  </si>
  <si>
    <t>Three inputs are unresolved and are marked yellow: network admissions per year, episodic period count, and annual mileage spend. The admissions lever scales linearly with the first. Do not present externally until they are replaced with actuals.</t>
  </si>
  <si>
    <t>Inputs — every driver</t>
  </si>
  <si>
    <t>Edit blue cells only. Yellow = unresolved, replace before external use.</t>
  </si>
  <si>
    <t>A.  ORGANISATION AND SCALE</t>
  </si>
  <si>
    <t>Driver</t>
  </si>
  <si>
    <t>Value</t>
  </si>
  <si>
    <t>Unit</t>
  </si>
  <si>
    <t>Source</t>
  </si>
  <si>
    <t>Confidence</t>
  </si>
  <si>
    <t>Branches</t>
  </si>
  <si>
    <t>count</t>
  </si>
  <si>
    <t>8.13 workbook, ROI tab</t>
  </si>
  <si>
    <t>Good</t>
  </si>
  <si>
    <t>Field clinicians</t>
  </si>
  <si>
    <t>Whiteboard session 13 Aug</t>
  </si>
  <si>
    <t>Share of clinicians paid per visit</t>
  </si>
  <si>
    <t>%</t>
  </si>
  <si>
    <t>Colin, 26 Aug</t>
  </si>
  <si>
    <t>Given</t>
  </si>
  <si>
    <t>Schedulers today</t>
  </si>
  <si>
    <t>Stated</t>
  </si>
  <si>
    <t>Home health revenue</t>
  </si>
  <si>
    <t>$</t>
  </si>
  <si>
    <t>Coding business case, upside panel</t>
  </si>
  <si>
    <t>Medicare fee-for-service revenue</t>
  </si>
  <si>
    <t>Coding business case, VBP lever (HHVBP base)</t>
  </si>
  <si>
    <t>All other payer revenue</t>
  </si>
  <si>
    <t>Derived</t>
  </si>
  <si>
    <t>Network admissions per year</t>
  </si>
  <si>
    <t>600/branch x 80 (workbook). UNRESOLVED: cannot carry $549M</t>
  </si>
  <si>
    <t>Weak</t>
  </si>
  <si>
    <t>Episodic 30-day periods per year</t>
  </si>
  <si>
    <t>1,000/branch x 80 (workbook). Derived alternative is 128,000</t>
  </si>
  <si>
    <t>Total visits per year</t>
  </si>
  <si>
    <t>Estimate: 3,000 clinicians x ~1,000 visits</t>
  </si>
  <si>
    <t>Non-episodic visits per year</t>
  </si>
  <si>
    <t>Estimate from non-FFS revenue</t>
  </si>
  <si>
    <t>B.  UNIT ECONOMICS</t>
  </si>
  <si>
    <t>Contribution per recovered admission</t>
  </si>
  <si>
    <t>8.13 workbook</t>
  </si>
  <si>
    <t>Workbook</t>
  </si>
  <si>
    <t>Revenue protected per avoided LUPA</t>
  </si>
  <si>
    <t>Contribution per non-episodic visit</t>
  </si>
  <si>
    <t>Derived: ~$150 revenue less per-visit pay and variable</t>
  </si>
  <si>
    <t>Modelled</t>
  </si>
  <si>
    <t>Loaded cost per scheduler</t>
  </si>
  <si>
    <t>BLS home health scheduler $38,090 median x 1.43</t>
  </si>
  <si>
    <t>Replacement cost per clinician</t>
  </si>
  <si>
    <t>Clinician departures per branch per year</t>
  </si>
  <si>
    <t>Premium labour pool per branch per year</t>
  </si>
  <si>
    <t>Annual mileage spend, network</t>
  </si>
  <si>
    <t>INVENTED: 3,000 x 8,000 miles x $0.67. Replace</t>
  </si>
  <si>
    <t>Invented</t>
  </si>
  <si>
    <t>C.  SCENARIO DRIVERS</t>
  </si>
  <si>
    <t>Min</t>
  </si>
  <si>
    <t>Mod</t>
  </si>
  <si>
    <t>Max</t>
  </si>
  <si>
    <t>Basis</t>
  </si>
  <si>
    <t>Admission lift</t>
  </si>
  <si>
    <t>LeanTaaS 2% acute; field service 4-15%</t>
  </si>
  <si>
    <t>Fill-rate points recovered, non-episodic</t>
  </si>
  <si>
    <t>Industry fill rates 88-90%</t>
  </si>
  <si>
    <t>LUPA reduction, points of periods</t>
  </si>
  <si>
    <t>8.13 workbook scenario drivers</t>
  </si>
  <si>
    <t>Scheduler FTE released</t>
  </si>
  <si>
    <t>Vendor comparable 27-44; bottom-up build 90</t>
  </si>
  <si>
    <t>Premium labour recovery</t>
  </si>
  <si>
    <t>Clinician turnover reduction</t>
  </si>
  <si>
    <t>8.13 workbook; Bergman 9.2pp worst quartile</t>
  </si>
  <si>
    <t>Travel and mileage reduction</t>
  </si>
  <si>
    <t>Field service 5-15%; UPS ORION 8-10%</t>
  </si>
  <si>
    <t>D.  COST OF OWNERSHIP DRIVERS</t>
  </si>
  <si>
    <t>Implementation and integration (one-time)</t>
  </si>
  <si>
    <t>Data readiness (one-time)</t>
  </si>
  <si>
    <t>Go-live productivity dip (one-time)</t>
  </si>
  <si>
    <t>Software licence (per year)</t>
  </si>
  <si>
    <t>Internal programme labour (per year)</t>
  </si>
  <si>
    <t>Change management (per year)</t>
  </si>
  <si>
    <t>Run and support (per year)</t>
  </si>
  <si>
    <t>Licence is ~10% of total; internal labour ~42%</t>
  </si>
  <si>
    <t>E.  BENEFIT RAMP</t>
  </si>
  <si>
    <t>Year 1</t>
  </si>
  <si>
    <t>Year 2</t>
  </si>
  <si>
    <t>Year 3</t>
  </si>
  <si>
    <t>Share of steady-state benefit realised</t>
  </si>
  <si>
    <t>Phased rollout across ~80 branches</t>
  </si>
  <si>
    <t>Outside-view benefit haircut</t>
  </si>
  <si>
    <t>Set to 56% to apply the McKinsey-Oxford shortfall</t>
  </si>
  <si>
    <t>F.  SCENARIO SELECTOR</t>
  </si>
  <si>
    <t>Scenario driving the Summary sheet</t>
  </si>
  <si>
    <t>Selected scenario</t>
  </si>
  <si>
    <t>Column index (1=Min, 2=Mod, 3=Max)</t>
  </si>
  <si>
    <t>Used by INDEX on the Levers pick</t>
  </si>
  <si>
    <t>Selected COST scenario</t>
  </si>
  <si>
    <t>Set independently of the benefit scenario. An ambitious benefit case does not require an ambitious spend case</t>
  </si>
  <si>
    <t>Cost column index</t>
  </si>
  <si>
    <t>Value levers — annual, at steady state</t>
  </si>
  <si>
    <t>Gross of platform cost. Formulas reference Inputs; edit drivers there, not here.</t>
  </si>
  <si>
    <t>Lever</t>
  </si>
  <si>
    <t>Formula in words</t>
  </si>
  <si>
    <t>1  Speed to answer -&gt; admissions (SOC-capable pool)</t>
  </si>
  <si>
    <t>Admissions x lift x contribution per admission</t>
  </si>
  <si>
    <t>2  Routine throughput and fill rate (paraprofessional pool)</t>
  </si>
  <si>
    <t>Non-episodic visits x fill points x contribution per visit</t>
  </si>
  <si>
    <t>3  LUPA as a scheduling gear</t>
  </si>
  <si>
    <t>Periods x reduction points x revenue protected</t>
  </si>
  <si>
    <t>4  Scheduler capacity released</t>
  </si>
  <si>
    <t>FTE released x loaded cost</t>
  </si>
  <si>
    <t>5  Premium and contract labour recovered</t>
  </si>
  <si>
    <t>Branches x premium pool x recovery rate</t>
  </si>
  <si>
    <t>6  Clinician retention</t>
  </si>
  <si>
    <t>Branches x departures x reduction x replacement cost</t>
  </si>
  <si>
    <t>7  Travel and mileage</t>
  </si>
  <si>
    <t>Mileage spend x reduction rate</t>
  </si>
  <si>
    <t>TOTAL, gross of platform cost</t>
  </si>
  <si>
    <t>Attribution notes</t>
  </si>
  <si>
    <t>- Levers 1 and 2 are separate capacity pools — SOC-capable clinicians and paraprofessionals — and are additive.</t>
  </si>
  <si>
    <t>- Lever 2 is valued on the non-episodic book only. Above the LUPA floor an extra episodic visit earns no revenue.</t>
  </si>
  <si>
    <t>- Lever 3 recovers only clinically indicated visits lost to operational failure. It never adds a visit to clear a threshold.</t>
  </si>
  <si>
    <t>- Lever 7 counts mileage reimbursement only. Under per-visit pay the saved drive time accrues to the clinician, and converts to capacity in lever 1.</t>
  </si>
  <si>
    <t>- Lever 4 excludes severance, which sits on the Cost sheet.</t>
  </si>
  <si>
    <t>Cost of ownership — three years</t>
  </si>
  <si>
    <t>Scenario follows the selector on Inputs B60.</t>
  </si>
  <si>
    <t>Cost line</t>
  </si>
  <si>
    <t>Three-year total</t>
  </si>
  <si>
    <t>Implementation and integration</t>
  </si>
  <si>
    <t>Data readiness</t>
  </si>
  <si>
    <t>Go-live productivity dip</t>
  </si>
  <si>
    <t>Software licence</t>
  </si>
  <si>
    <t>Internal programme labour</t>
  </si>
  <si>
    <t>Change management</t>
  </si>
  <si>
    <t>Run and support</t>
  </si>
  <si>
    <t>Severance on released scheduler roles</t>
  </si>
  <si>
    <t>Assumes 3 months per released role, in year 2</t>
  </si>
  <si>
    <t>TOTAL COST</t>
  </si>
  <si>
    <t>Summary — net position and payback</t>
  </si>
  <si>
    <t>Steady-state benefit, gross</t>
  </si>
  <si>
    <t>Ramp</t>
  </si>
  <si>
    <t>Outside-view haircut</t>
  </si>
  <si>
    <t>Benefit realised</t>
  </si>
  <si>
    <t>Total cost</t>
  </si>
  <si>
    <t>NET</t>
  </si>
  <si>
    <t>Cumulative net</t>
  </si>
  <si>
    <t>Three-year ROI</t>
  </si>
  <si>
    <t>Payback</t>
  </si>
  <si>
    <t>Steady-state annual benefit, by lever (selected scenario)</t>
  </si>
  <si>
    <t>Total</t>
  </si>
  <si>
    <t>Read this before quoting a number</t>
  </si>
  <si>
    <t>- State the four attribution conventions with any figure: gross or incremental; which revenue base; how many levers; whether config-achievable value counts.</t>
  </si>
  <si>
    <t>- Set the outside-view haircut on Inputs B55 to 56% to see the McKinsey-Oxford expected case.</t>
  </si>
  <si>
    <t>- Three inputs are unresolved and marked yellow. The admissions lever scales linearly with network admissions.</t>
  </si>
  <si>
    <t>Baseline measurement plan</t>
  </si>
  <si>
    <t>Nothing in this model can be committed until these are measured. Ordered by which lever they gate.</t>
  </si>
  <si>
    <t>KPI</t>
  </si>
  <si>
    <t>What it measures</t>
  </si>
  <si>
    <t>Gates which lever</t>
  </si>
  <si>
    <t>Source system</t>
  </si>
  <si>
    <t>Available today</t>
  </si>
  <si>
    <t>How to obtain</t>
  </si>
  <si>
    <t>Effort</t>
  </si>
  <si>
    <t>The denominator for every growth claim</t>
  </si>
  <si>
    <t>Lever 1</t>
  </si>
  <si>
    <t>HCHB / Commure</t>
  </si>
  <si>
    <t>Yes</t>
  </si>
  <si>
    <t>Count SOC and ROC episodes by branch, 12 months</t>
  </si>
  <si>
    <t>Low</t>
  </si>
  <si>
    <t>Referral-to-SOC latency</t>
  </si>
  <si>
    <t>Hours from referral acceptance to SOC visit, median and tail</t>
  </si>
  <si>
    <t>Commure + HCHB</t>
  </si>
  <si>
    <t>Partial</t>
  </si>
  <si>
    <t>Timestamp pairs: referral accepted, auth cleared, intake approved, welcome call, SOC scheduled, SOC delivered</t>
  </si>
  <si>
    <t>Medium</t>
  </si>
  <si>
    <t>Referral turn-down rate for capacity</t>
  </si>
  <si>
    <t>Clinically appropriate referrals declined for lack of capacity</t>
  </si>
  <si>
    <t>Referral log</t>
  </si>
  <si>
    <t>No</t>
  </si>
  <si>
    <t>Requires a turn-down reason code that does not exist today</t>
  </si>
  <si>
    <t>High</t>
  </si>
  <si>
    <t>SOC slot utilisation</t>
  </si>
  <si>
    <t>SOC-capable capacity offered versus filled, per week</t>
  </si>
  <si>
    <t>HCHB scheduling</t>
  </si>
  <si>
    <t>Needs a definition of an SOC slot before it can be counted</t>
  </si>
  <si>
    <t>Visit fill rate</t>
  </si>
  <si>
    <t>Authorised and needed visits that go unstaffed, split episodic and non-episodic</t>
  </si>
  <si>
    <t>Lever 2</t>
  </si>
  <si>
    <t>HCHB</t>
  </si>
  <si>
    <t>Scheduled versus completed versus cancelled, by payer class</t>
  </si>
  <si>
    <t>Visit mix by discipline</t>
  </si>
  <si>
    <t>RN vs LPN, PT vs PTA, OT vs COTA, aide share of routine visits</t>
  </si>
  <si>
    <t>Levers 2 and 5</t>
  </si>
  <si>
    <t>Visit counts by discipline code, 12 months</t>
  </si>
  <si>
    <t>Cancellation and refusal rate</t>
  </si>
  <si>
    <t>Frequency, timing, reason, and who absorbs the cost</t>
  </si>
  <si>
    <t>HCHB dispositions</t>
  </si>
  <si>
    <t>Disposition records; reason codes are captured for some dispositions but not decline</t>
  </si>
  <si>
    <t>Backfill latency</t>
  </si>
  <si>
    <t>Time from a cancellation to the slot being refilled or lost</t>
  </si>
  <si>
    <t>Derived from disposition and reassignment timestamps</t>
  </si>
  <si>
    <t>LUPA rate and periods one visit short</t>
  </si>
  <si>
    <t>Share of periods below threshold, and how many missed by one</t>
  </si>
  <si>
    <t>Lever 3</t>
  </si>
  <si>
    <t>Billing / PDGM</t>
  </si>
  <si>
    <t>Claims by case-mix group against the CMS 432-row threshold file</t>
  </si>
  <si>
    <t>LUPA cause attribution</t>
  </si>
  <si>
    <t>Whether the shortfall was clinical or operational</t>
  </si>
  <si>
    <t>HCHB + billing</t>
  </si>
  <si>
    <t>Join LUPA periods to missed, rescheduled and auth-held visits</t>
  </si>
  <si>
    <t>Scheduler task census</t>
  </si>
  <si>
    <t>Task volume and real handle time by task type</t>
  </si>
  <si>
    <t>Lever 4</t>
  </si>
  <si>
    <t>HCHB workflow records</t>
  </si>
  <si>
    <t>90 days of workflow items with open and close timestamps, grouped by type. This is a query, not a study</t>
  </si>
  <si>
    <t>Premium, contract and overtime spend</t>
  </si>
  <si>
    <t>Baseline for the labour recovery lever</t>
  </si>
  <si>
    <t>Lever 5</t>
  </si>
  <si>
    <t>Payroll</t>
  </si>
  <si>
    <t>12 months by branch and discipline</t>
  </si>
  <si>
    <t>Clinician turnover and tenure at separation</t>
  </si>
  <si>
    <t>Departures, first-year share, replacement cost</t>
  </si>
  <si>
    <t>Lever 6</t>
  </si>
  <si>
    <t>Workday</t>
  </si>
  <si>
    <t>Voluntary and involuntary, 24 months, with tenure</t>
  </si>
  <si>
    <t>Schedule volatility</t>
  </si>
  <si>
    <t>Coefficient of variation of daily visit count, trailing 28 days, per clinician</t>
  </si>
  <si>
    <t>Computable today from visit records. Validated predictor of quit risk</t>
  </si>
  <si>
    <t>Income realisation ratio</t>
  </si>
  <si>
    <t>Realised pay against quoted pay at 90 days, per new hire</t>
  </si>
  <si>
    <t>Payroll + recruiting</t>
  </si>
  <si>
    <t>Join offer expectations to actual pay. Critical with 70% per-visit pay</t>
  </si>
  <si>
    <t>Mileage and drive time</t>
  </si>
  <si>
    <t>Miles and drive hours per visit, by branch</t>
  </si>
  <si>
    <t>Lever 7</t>
  </si>
  <si>
    <t>HCHB / expense</t>
  </si>
  <si>
    <t>Replaces the invented mileage figure on Inputs</t>
  </si>
  <si>
    <t>Authorisation write-offs</t>
  </si>
  <si>
    <t>Visits delivered outside the payer backdating window</t>
  </si>
  <si>
    <t>Not yet a lever</t>
  </si>
  <si>
    <t>Billing</t>
  </si>
  <si>
    <t>The most under-instrumented dollar in the business. Could be immaterial or the largest single lever</t>
  </si>
  <si>
    <t>Authorisation turnaround by payer</t>
  </si>
  <si>
    <t>Submission to response, by payer and product</t>
  </si>
  <si>
    <t>Auth team</t>
  </si>
  <si>
    <t>Measurable from existing data. Nobody has measured it</t>
  </si>
  <si>
    <t>Pay model split</t>
  </si>
  <si>
    <t>Per visit, hourly, salaried, points, by branch</t>
  </si>
  <si>
    <t>Every margin lever</t>
  </si>
  <si>
    <t>Confirms the 70% figure and locates the exceptions</t>
  </si>
  <si>
    <t>Cost per period by case-mix group</t>
  </si>
  <si>
    <t>The denominator for the utilisation ceiling</t>
  </si>
  <si>
    <t>Utilisation work</t>
  </si>
  <si>
    <t>Finance</t>
  </si>
  <si>
    <t>Without it the ceiling stays directional</t>
  </si>
  <si>
    <t>Sequencing</t>
  </si>
  <si>
    <t>- Everything marked Low effort is a query against systems we already own and can be delivered in two weeks.</t>
  </si>
  <si>
    <t>- The scheduler task census, pay model split, visit mix, turnover and premium spend together size five of the seven levers.</t>
  </si>
  <si>
    <t>- By the organisation's own KPI table the initiative's core metric — quantified capacity and utilisation — is not available today, along with 6 of 8 secondary indicators.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</si>
</sst>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;\(\$#,##0\);\-"/>
  </numFmts>
  <fonts count="8" x14ac:knownFonts="1">
    <font>
      <sz val="11"/>
      <color theme="1"/>
      <name val="Calibri"/>
      <family val="2"/>
      <scheme val="minor"/>
    </font>
    <font>
      <b/>
      <sz val="14"/>
      <name val="Arial"/>
    </font>
    <font>
      <b/>
      <sz val="10"/>
      <name val="Arial"/>
    </font>
    <font>
      <sz val="10"/>
      <name val="Arial"/>
    </font>
    <font>
      <i/>
      <sz val="9"/>
      <color rgb="FF595959"/>
      <name val="Arial"/>
    </font>
    <font>
      <b/>
      <sz val="11"/>
      <color rgb="FFFFFFFF"/>
      <name val="Arial"/>
    </font>
    <font>
      <sz val="10"/>
      <color rgb="FF0000FF"/>
      <name val="Arial"/>
    </font>
    <font>
      <sz val="10"/>
      <color rgb="FF008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D9E2F3"/>
      </patternFill>
    </fill>
    <fill>
      <patternFill patternType="solid">
        <fgColor rgb="FF1F3864"/>
      </patternFill>
    </fill>
    <fill>
      <patternFill patternType="solid">
        <fgColor rgb="FFFFFF00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0" borderId="0" xfId="0" applyFont="1"/>
    <xf numFmtId="0" fontId="2" fillId="2" borderId="0" xfId="0" applyFont="1" applyFill="1"/>
    <xf numFmtId="0" fontId="0" fillId="2" borderId="0" xfId="0" applyFill="1"/>
    <xf numFmtId="0" fontId="5" fillId="3" borderId="0" xfId="0" applyFont="1" applyFill="1" applyAlignment="1">
      <alignment horizontal="center" wrapText="1"/>
    </xf>
    <xf numFmtId="0" fontId="3" fillId="0" borderId="0" xfId="0" applyFont="1"/>
    <xf numFmtId="3" fontId="6" fillId="0" borderId="0" xfId="0" applyNumberFormat="1" applyFont="1"/>
    <xf numFmtId="164" fontId="6" fillId="0" borderId="0" xfId="0" applyNumberFormat="1" applyFont="1"/>
    <xf numFmtId="165" fontId="6" fillId="0" borderId="0" xfId="0" applyNumberFormat="1" applyFont="1"/>
    <xf numFmtId="165" fontId="3" fillId="0" borderId="0" xfId="0" applyNumberFormat="1" applyFont="1"/>
    <xf numFmtId="3" fontId="6" fillId="4" borderId="0" xfId="0" applyNumberFormat="1" applyFont="1" applyFill="1"/>
    <xf numFmtId="165" fontId="6" fillId="4" borderId="0" xfId="0" applyNumberFormat="1" applyFont="1" applyFill="1"/>
    <xf numFmtId="0" fontId="6" fillId="5" borderId="0" xfId="0" applyFont="1" applyFill="1"/>
    <xf numFmtId="0" fontId="3" fillId="0" borderId="1" xfId="0" applyFont="1" applyBorder="1"/>
    <xf numFmtId="165" fontId="7" fillId="0" borderId="0" xfId="0" applyNumberFormat="1" applyFont="1"/>
    <xf numFmtId="165" fontId="2" fillId="0" borderId="0" xfId="0" applyNumberFormat="1" applyFont="1"/>
    <xf numFmtId="164" fontId="7" fillId="0" borderId="0" xfId="0" applyNumberFormat="1" applyFont="1"/>
    <xf numFmtId="164" fontId="2" fillId="0" borderId="0" xfId="0" applyNumberFormat="1" applyFont="1"/>
    <xf numFmtId="0" fontId="4" fillId="0" borderId="0" xfId="0" applyFont="1" applyAlignment="1">
      <alignment vertical="top" wrapText="1"/>
    </xf>
    <xf numFmtId="0" fontId="3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showGridLines="0" tabSelected="1" workbookViewId="0"/>
  </sheetViews>
  <sheetFormatPr defaultRowHeight="14.4" x14ac:dyDescent="0.3"/>
  <cols>
    <col min="1" max="1" width="22" customWidth="1"/>
    <col min="2" max="2" width="95" customWidth="1"/>
  </cols>
  <sheetData>
    <row r="1" spans="1:2" ht="17.399999999999999" x14ac:dyDescent="0.3">
      <c r="A1" s="1" t="s">
        <v>0</v>
      </c>
    </row>
    <row r="3" spans="1:2" ht="30" customHeight="1" x14ac:dyDescent="0.3">
      <c r="A3" s="2" t="s">
        <v>1</v>
      </c>
      <c r="B3" s="3" t="s">
        <v>2</v>
      </c>
    </row>
    <row r="4" spans="1:2" ht="7.95" customHeight="1" x14ac:dyDescent="0.3">
      <c r="A4" s="2"/>
      <c r="B4" s="3"/>
    </row>
    <row r="5" spans="1:2" ht="30" customHeight="1" x14ac:dyDescent="0.3">
      <c r="A5" s="2" t="s">
        <v>3</v>
      </c>
      <c r="B5" s="3" t="s">
        <v>4</v>
      </c>
    </row>
    <row r="6" spans="1:2" ht="7.95" customHeight="1" x14ac:dyDescent="0.3">
      <c r="A6" s="2"/>
      <c r="B6" s="3"/>
    </row>
    <row r="7" spans="1:2" ht="30" customHeight="1" x14ac:dyDescent="0.3">
      <c r="A7" s="2" t="s">
        <v>5</v>
      </c>
      <c r="B7" s="3" t="s">
        <v>6</v>
      </c>
    </row>
    <row r="8" spans="1:2" ht="7.95" customHeight="1" x14ac:dyDescent="0.3">
      <c r="A8" s="2"/>
      <c r="B8" s="3"/>
    </row>
    <row r="9" spans="1:2" ht="30" customHeight="1" x14ac:dyDescent="0.3">
      <c r="A9" s="2" t="s">
        <v>7</v>
      </c>
      <c r="B9" s="3" t="s">
        <v>8</v>
      </c>
    </row>
    <row r="10" spans="1:2" ht="7.95" customHeight="1" x14ac:dyDescent="0.3">
      <c r="A10" s="2"/>
      <c r="B10" s="3"/>
    </row>
    <row r="11" spans="1:2" ht="30" customHeight="1" x14ac:dyDescent="0.3">
      <c r="A11" s="2" t="s">
        <v>9</v>
      </c>
      <c r="B11" s="3" t="s">
        <v>10</v>
      </c>
    </row>
    <row r="12" spans="1:2" ht="7.95" customHeight="1" x14ac:dyDescent="0.3">
      <c r="A12" s="2"/>
      <c r="B12" s="3"/>
    </row>
    <row r="13" spans="1:2" ht="30" customHeight="1" x14ac:dyDescent="0.3">
      <c r="A13" s="2" t="s">
        <v>11</v>
      </c>
      <c r="B13" s="3" t="s">
        <v>12</v>
      </c>
    </row>
    <row r="14" spans="1:2" ht="7.95" customHeight="1" x14ac:dyDescent="0.3">
      <c r="A14" s="2"/>
      <c r="B14" s="3"/>
    </row>
    <row r="15" spans="1:2" ht="30" customHeight="1" x14ac:dyDescent="0.3">
      <c r="A15" s="2" t="s">
        <v>13</v>
      </c>
      <c r="B15" s="3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4"/>
  <sheetViews>
    <sheetView showGridLines="0" workbookViewId="0"/>
  </sheetViews>
  <sheetFormatPr defaultRowHeight="14.4" x14ac:dyDescent="0.3"/>
  <cols>
    <col min="1" max="1" width="46" customWidth="1"/>
    <col min="2" max="2" width="16" customWidth="1"/>
    <col min="3" max="3" width="12" customWidth="1"/>
    <col min="4" max="4" width="40" customWidth="1"/>
    <col min="5" max="5" width="14" customWidth="1"/>
    <col min="6" max="6" width="30" customWidth="1"/>
  </cols>
  <sheetData>
    <row r="1" spans="1:6" ht="17.399999999999999" x14ac:dyDescent="0.3">
      <c r="A1" s="1" t="s">
        <v>15</v>
      </c>
    </row>
    <row r="2" spans="1:6" x14ac:dyDescent="0.3">
      <c r="A2" s="4" t="s">
        <v>16</v>
      </c>
    </row>
    <row r="4" spans="1:6" x14ac:dyDescent="0.3">
      <c r="A4" s="5" t="s">
        <v>17</v>
      </c>
      <c r="B4" s="6"/>
      <c r="C4" s="6"/>
      <c r="D4" s="6"/>
      <c r="E4" s="6"/>
      <c r="F4" s="6"/>
    </row>
    <row r="5" spans="1:6" x14ac:dyDescent="0.3">
      <c r="A5" s="7" t="s">
        <v>18</v>
      </c>
      <c r="B5" s="7" t="s">
        <v>19</v>
      </c>
      <c r="C5" s="7" t="s">
        <v>20</v>
      </c>
      <c r="D5" s="7" t="s">
        <v>21</v>
      </c>
      <c r="E5" s="7" t="s">
        <v>22</v>
      </c>
    </row>
    <row r="6" spans="1:6" x14ac:dyDescent="0.3">
      <c r="A6" s="8" t="s">
        <v>23</v>
      </c>
      <c r="B6" s="9">
        <v>80</v>
      </c>
      <c r="C6" s="8" t="s">
        <v>24</v>
      </c>
      <c r="D6" s="4" t="s">
        <v>25</v>
      </c>
      <c r="E6" s="4" t="s">
        <v>26</v>
      </c>
    </row>
    <row r="7" spans="1:6" x14ac:dyDescent="0.3">
      <c r="A7" s="8" t="s">
        <v>27</v>
      </c>
      <c r="B7" s="9">
        <v>3000</v>
      </c>
      <c r="C7" s="8" t="s">
        <v>24</v>
      </c>
      <c r="D7" s="4" t="s">
        <v>28</v>
      </c>
      <c r="E7" s="4" t="s">
        <v>26</v>
      </c>
    </row>
    <row r="8" spans="1:6" x14ac:dyDescent="0.3">
      <c r="A8" s="8" t="s">
        <v>29</v>
      </c>
      <c r="B8" s="10">
        <v>0.7</v>
      </c>
      <c r="C8" s="8" t="s">
        <v>30</v>
      </c>
      <c r="D8" s="4" t="s">
        <v>31</v>
      </c>
      <c r="E8" s="4" t="s">
        <v>32</v>
      </c>
    </row>
    <row r="9" spans="1:6" x14ac:dyDescent="0.3">
      <c r="A9" s="8" t="s">
        <v>33</v>
      </c>
      <c r="B9" s="9">
        <v>300</v>
      </c>
      <c r="C9" s="8" t="s">
        <v>24</v>
      </c>
      <c r="D9" s="4" t="s">
        <v>28</v>
      </c>
      <c r="E9" s="4" t="s">
        <v>34</v>
      </c>
    </row>
    <row r="10" spans="1:6" x14ac:dyDescent="0.3">
      <c r="A10" s="8" t="s">
        <v>35</v>
      </c>
      <c r="B10" s="11">
        <v>549000000</v>
      </c>
      <c r="C10" s="8" t="s">
        <v>36</v>
      </c>
      <c r="D10" s="4" t="s">
        <v>37</v>
      </c>
      <c r="E10" s="4" t="s">
        <v>26</v>
      </c>
    </row>
    <row r="11" spans="1:6" x14ac:dyDescent="0.3">
      <c r="A11" s="8" t="s">
        <v>38</v>
      </c>
      <c r="B11" s="11">
        <v>260000000</v>
      </c>
      <c r="C11" s="8" t="s">
        <v>36</v>
      </c>
      <c r="D11" s="4" t="s">
        <v>39</v>
      </c>
      <c r="E11" s="4" t="s">
        <v>26</v>
      </c>
    </row>
    <row r="12" spans="1:6" x14ac:dyDescent="0.3">
      <c r="A12" s="8" t="s">
        <v>40</v>
      </c>
      <c r="B12" s="12">
        <f>B10-B11</f>
        <v>289000000</v>
      </c>
      <c r="C12" s="8" t="s">
        <v>36</v>
      </c>
      <c r="D12" s="4" t="s">
        <v>41</v>
      </c>
    </row>
    <row r="13" spans="1:6" x14ac:dyDescent="0.3">
      <c r="A13" s="8" t="s">
        <v>42</v>
      </c>
      <c r="B13" s="13">
        <v>48000</v>
      </c>
      <c r="C13" s="8" t="s">
        <v>24</v>
      </c>
      <c r="D13" s="4" t="s">
        <v>43</v>
      </c>
      <c r="E13" s="4" t="s">
        <v>44</v>
      </c>
    </row>
    <row r="14" spans="1:6" x14ac:dyDescent="0.3">
      <c r="A14" s="8" t="s">
        <v>45</v>
      </c>
      <c r="B14" s="13">
        <v>80000</v>
      </c>
      <c r="C14" s="8" t="s">
        <v>24</v>
      </c>
      <c r="D14" s="4" t="s">
        <v>46</v>
      </c>
      <c r="E14" s="4" t="s">
        <v>44</v>
      </c>
    </row>
    <row r="15" spans="1:6" x14ac:dyDescent="0.3">
      <c r="A15" s="8" t="s">
        <v>47</v>
      </c>
      <c r="B15" s="13">
        <v>3000000</v>
      </c>
      <c r="C15" s="8" t="s">
        <v>24</v>
      </c>
      <c r="D15" s="4" t="s">
        <v>48</v>
      </c>
      <c r="E15" s="4" t="s">
        <v>44</v>
      </c>
    </row>
    <row r="16" spans="1:6" x14ac:dyDescent="0.3">
      <c r="A16" s="8" t="s">
        <v>49</v>
      </c>
      <c r="B16" s="13">
        <v>1900000</v>
      </c>
      <c r="C16" s="8" t="s">
        <v>24</v>
      </c>
      <c r="D16" s="4" t="s">
        <v>50</v>
      </c>
      <c r="E16" s="4" t="s">
        <v>44</v>
      </c>
    </row>
    <row r="18" spans="1:6" x14ac:dyDescent="0.3">
      <c r="A18" s="5" t="s">
        <v>51</v>
      </c>
      <c r="B18" s="6"/>
      <c r="C18" s="6"/>
      <c r="D18" s="6"/>
      <c r="E18" s="6"/>
      <c r="F18" s="6"/>
    </row>
    <row r="19" spans="1:6" x14ac:dyDescent="0.3">
      <c r="A19" s="7" t="s">
        <v>18</v>
      </c>
      <c r="B19" s="7" t="s">
        <v>19</v>
      </c>
      <c r="C19" s="7" t="s">
        <v>20</v>
      </c>
      <c r="D19" s="7" t="s">
        <v>21</v>
      </c>
      <c r="E19" s="7" t="s">
        <v>22</v>
      </c>
    </row>
    <row r="20" spans="1:6" x14ac:dyDescent="0.3">
      <c r="A20" s="8" t="s">
        <v>52</v>
      </c>
      <c r="B20" s="11">
        <v>1200</v>
      </c>
      <c r="C20" s="8" t="s">
        <v>36</v>
      </c>
      <c r="D20" s="4" t="s">
        <v>53</v>
      </c>
      <c r="E20" s="4" t="s">
        <v>54</v>
      </c>
    </row>
    <row r="21" spans="1:6" x14ac:dyDescent="0.3">
      <c r="A21" s="8" t="s">
        <v>55</v>
      </c>
      <c r="B21" s="11">
        <v>1400</v>
      </c>
      <c r="C21" s="8" t="s">
        <v>36</v>
      </c>
      <c r="D21" s="4" t="s">
        <v>53</v>
      </c>
      <c r="E21" s="4" t="s">
        <v>54</v>
      </c>
    </row>
    <row r="22" spans="1:6" x14ac:dyDescent="0.3">
      <c r="A22" s="8" t="s">
        <v>56</v>
      </c>
      <c r="B22" s="11">
        <v>65</v>
      </c>
      <c r="C22" s="8" t="s">
        <v>36</v>
      </c>
      <c r="D22" s="4" t="s">
        <v>57</v>
      </c>
      <c r="E22" s="4" t="s">
        <v>58</v>
      </c>
    </row>
    <row r="23" spans="1:6" x14ac:dyDescent="0.3">
      <c r="A23" s="8" t="s">
        <v>59</v>
      </c>
      <c r="B23" s="11">
        <v>60000</v>
      </c>
      <c r="C23" s="8" t="s">
        <v>36</v>
      </c>
      <c r="D23" s="4" t="s">
        <v>60</v>
      </c>
      <c r="E23" s="4" t="s">
        <v>26</v>
      </c>
    </row>
    <row r="24" spans="1:6" x14ac:dyDescent="0.3">
      <c r="A24" s="8" t="s">
        <v>61</v>
      </c>
      <c r="B24" s="11">
        <v>40000</v>
      </c>
      <c r="C24" s="8" t="s">
        <v>36</v>
      </c>
      <c r="D24" s="4" t="s">
        <v>53</v>
      </c>
      <c r="E24" s="4" t="s">
        <v>54</v>
      </c>
    </row>
    <row r="25" spans="1:6" x14ac:dyDescent="0.3">
      <c r="A25" s="8" t="s">
        <v>62</v>
      </c>
      <c r="B25" s="9">
        <v>5</v>
      </c>
      <c r="C25" s="8" t="s">
        <v>24</v>
      </c>
      <c r="D25" s="4" t="s">
        <v>53</v>
      </c>
      <c r="E25" s="4" t="s">
        <v>54</v>
      </c>
    </row>
    <row r="26" spans="1:6" x14ac:dyDescent="0.3">
      <c r="A26" s="8" t="s">
        <v>63</v>
      </c>
      <c r="B26" s="11">
        <v>120000</v>
      </c>
      <c r="C26" s="8" t="s">
        <v>36</v>
      </c>
      <c r="D26" s="4" t="s">
        <v>53</v>
      </c>
      <c r="E26" s="4" t="s">
        <v>54</v>
      </c>
    </row>
    <row r="27" spans="1:6" x14ac:dyDescent="0.3">
      <c r="A27" s="8" t="s">
        <v>64</v>
      </c>
      <c r="B27" s="14">
        <v>16000000</v>
      </c>
      <c r="C27" s="8" t="s">
        <v>36</v>
      </c>
      <c r="D27" s="4" t="s">
        <v>65</v>
      </c>
      <c r="E27" s="4" t="s">
        <v>66</v>
      </c>
    </row>
    <row r="30" spans="1:6" x14ac:dyDescent="0.3">
      <c r="A30" s="5" t="s">
        <v>67</v>
      </c>
      <c r="B30" s="6"/>
      <c r="C30" s="6"/>
      <c r="D30" s="6"/>
      <c r="E30" s="6"/>
      <c r="F30" s="6"/>
    </row>
    <row r="31" spans="1:6" x14ac:dyDescent="0.3">
      <c r="A31" s="7" t="s">
        <v>18</v>
      </c>
      <c r="B31" s="7" t="s">
        <v>68</v>
      </c>
      <c r="C31" s="7" t="s">
        <v>69</v>
      </c>
      <c r="D31" s="7" t="s">
        <v>70</v>
      </c>
      <c r="E31" s="7" t="s">
        <v>71</v>
      </c>
    </row>
    <row r="32" spans="1:6" x14ac:dyDescent="0.3">
      <c r="A32" s="8" t="s">
        <v>72</v>
      </c>
      <c r="B32" s="10">
        <v>0.02</v>
      </c>
      <c r="C32" s="10">
        <v>0.04</v>
      </c>
      <c r="D32" s="10">
        <v>7.0000000000000007E-2</v>
      </c>
      <c r="E32" s="4" t="s">
        <v>73</v>
      </c>
    </row>
    <row r="33" spans="1:6" x14ac:dyDescent="0.3">
      <c r="A33" s="8" t="s">
        <v>74</v>
      </c>
      <c r="B33" s="10">
        <v>0.01</v>
      </c>
      <c r="C33" s="10">
        <v>0.02</v>
      </c>
      <c r="D33" s="10">
        <v>3.5000000000000003E-2</v>
      </c>
      <c r="E33" s="4" t="s">
        <v>75</v>
      </c>
    </row>
    <row r="34" spans="1:6" x14ac:dyDescent="0.3">
      <c r="A34" s="8" t="s">
        <v>76</v>
      </c>
      <c r="B34" s="10">
        <v>5.0000000000000001E-3</v>
      </c>
      <c r="C34" s="10">
        <v>0.01</v>
      </c>
      <c r="D34" s="10">
        <v>0.02</v>
      </c>
      <c r="E34" s="4" t="s">
        <v>77</v>
      </c>
    </row>
    <row r="35" spans="1:6" x14ac:dyDescent="0.3">
      <c r="A35" s="8" t="s">
        <v>78</v>
      </c>
      <c r="B35" s="9">
        <v>27</v>
      </c>
      <c r="C35" s="9">
        <v>60</v>
      </c>
      <c r="D35" s="9">
        <v>90</v>
      </c>
      <c r="E35" s="4" t="s">
        <v>79</v>
      </c>
    </row>
    <row r="36" spans="1:6" x14ac:dyDescent="0.3">
      <c r="A36" s="8" t="s">
        <v>80</v>
      </c>
      <c r="B36" s="10">
        <v>0.15</v>
      </c>
      <c r="C36" s="10">
        <v>0.3</v>
      </c>
      <c r="D36" s="10">
        <v>0.5</v>
      </c>
      <c r="E36" s="4" t="s">
        <v>77</v>
      </c>
    </row>
    <row r="37" spans="1:6" x14ac:dyDescent="0.3">
      <c r="A37" s="8" t="s">
        <v>81</v>
      </c>
      <c r="B37" s="10">
        <v>0.05</v>
      </c>
      <c r="C37" s="10">
        <v>0.1</v>
      </c>
      <c r="D37" s="10">
        <v>0.2</v>
      </c>
      <c r="E37" s="4" t="s">
        <v>82</v>
      </c>
    </row>
    <row r="38" spans="1:6" x14ac:dyDescent="0.3">
      <c r="A38" s="8" t="s">
        <v>83</v>
      </c>
      <c r="B38" s="10">
        <v>0.05</v>
      </c>
      <c r="C38" s="10">
        <v>0.08</v>
      </c>
      <c r="D38" s="10">
        <v>0.12</v>
      </c>
      <c r="E38" s="4" t="s">
        <v>84</v>
      </c>
    </row>
    <row r="41" spans="1:6" x14ac:dyDescent="0.3">
      <c r="A41" s="5" t="s">
        <v>85</v>
      </c>
      <c r="B41" s="6"/>
      <c r="C41" s="6"/>
      <c r="D41" s="6"/>
      <c r="E41" s="6"/>
      <c r="F41" s="6"/>
    </row>
    <row r="42" spans="1:6" x14ac:dyDescent="0.3">
      <c r="A42" s="7" t="s">
        <v>18</v>
      </c>
      <c r="B42" s="7" t="s">
        <v>68</v>
      </c>
      <c r="C42" s="7" t="s">
        <v>69</v>
      </c>
      <c r="D42" s="7" t="s">
        <v>70</v>
      </c>
      <c r="E42" s="7" t="s">
        <v>71</v>
      </c>
    </row>
    <row r="43" spans="1:6" x14ac:dyDescent="0.3">
      <c r="A43" s="8" t="s">
        <v>86</v>
      </c>
      <c r="B43" s="11">
        <v>1000000</v>
      </c>
      <c r="C43" s="11">
        <v>3400000</v>
      </c>
      <c r="D43" s="11">
        <v>8000000</v>
      </c>
    </row>
    <row r="44" spans="1:6" x14ac:dyDescent="0.3">
      <c r="A44" s="8" t="s">
        <v>87</v>
      </c>
      <c r="B44" s="11">
        <v>500000</v>
      </c>
      <c r="C44" s="11">
        <v>1300000</v>
      </c>
      <c r="D44" s="11">
        <v>4000000</v>
      </c>
    </row>
    <row r="45" spans="1:6" x14ac:dyDescent="0.3">
      <c r="A45" s="8" t="s">
        <v>88</v>
      </c>
      <c r="B45" s="11">
        <v>400000</v>
      </c>
      <c r="C45" s="11">
        <v>1000000</v>
      </c>
      <c r="D45" s="11">
        <v>3000000</v>
      </c>
    </row>
    <row r="46" spans="1:6" x14ac:dyDescent="0.3">
      <c r="A46" s="8" t="s">
        <v>89</v>
      </c>
      <c r="B46" s="11">
        <v>400000</v>
      </c>
      <c r="C46" s="11">
        <v>720000</v>
      </c>
      <c r="D46" s="11">
        <v>1500000</v>
      </c>
    </row>
    <row r="47" spans="1:6" x14ac:dyDescent="0.3">
      <c r="A47" s="8" t="s">
        <v>90</v>
      </c>
      <c r="B47" s="11">
        <v>1200000</v>
      </c>
      <c r="C47" s="11">
        <v>3300000</v>
      </c>
      <c r="D47" s="11">
        <v>7000000</v>
      </c>
    </row>
    <row r="48" spans="1:6" x14ac:dyDescent="0.3">
      <c r="A48" s="8" t="s">
        <v>91</v>
      </c>
      <c r="B48" s="11">
        <v>350000</v>
      </c>
      <c r="C48" s="11">
        <v>830000</v>
      </c>
      <c r="D48" s="11">
        <v>2200000</v>
      </c>
    </row>
    <row r="49" spans="1:6" x14ac:dyDescent="0.3">
      <c r="A49" s="8" t="s">
        <v>92</v>
      </c>
      <c r="B49" s="11">
        <v>220000</v>
      </c>
      <c r="C49" s="11">
        <v>350000</v>
      </c>
      <c r="D49" s="11">
        <v>700000</v>
      </c>
    </row>
    <row r="50" spans="1:6" x14ac:dyDescent="0.3">
      <c r="E50" s="4" t="s">
        <v>93</v>
      </c>
    </row>
    <row r="52" spans="1:6" x14ac:dyDescent="0.3">
      <c r="A52" s="5" t="s">
        <v>94</v>
      </c>
      <c r="B52" s="6"/>
      <c r="C52" s="6"/>
      <c r="D52" s="6"/>
      <c r="E52" s="6"/>
      <c r="F52" s="6"/>
    </row>
    <row r="53" spans="1:6" x14ac:dyDescent="0.3">
      <c r="A53" s="7" t="s">
        <v>18</v>
      </c>
      <c r="B53" s="7" t="s">
        <v>95</v>
      </c>
      <c r="C53" s="7" t="s">
        <v>96</v>
      </c>
      <c r="D53" s="7" t="s">
        <v>97</v>
      </c>
      <c r="E53" s="7" t="s">
        <v>71</v>
      </c>
    </row>
    <row r="54" spans="1:6" x14ac:dyDescent="0.3">
      <c r="A54" s="8" t="s">
        <v>98</v>
      </c>
      <c r="B54" s="10">
        <v>0.2</v>
      </c>
      <c r="C54" s="10">
        <v>0.6</v>
      </c>
      <c r="D54" s="10">
        <v>1</v>
      </c>
      <c r="E54" s="4" t="s">
        <v>99</v>
      </c>
    </row>
    <row r="55" spans="1:6" x14ac:dyDescent="0.3">
      <c r="A55" s="8" t="s">
        <v>100</v>
      </c>
      <c r="B55" s="10">
        <v>0</v>
      </c>
      <c r="E55" s="4" t="s">
        <v>101</v>
      </c>
    </row>
    <row r="58" spans="1:6" x14ac:dyDescent="0.3">
      <c r="A58" s="5" t="s">
        <v>102</v>
      </c>
      <c r="B58" s="6"/>
      <c r="C58" s="6"/>
      <c r="D58" s="6"/>
      <c r="E58" s="6"/>
      <c r="F58" s="6"/>
    </row>
    <row r="59" spans="1:6" x14ac:dyDescent="0.3">
      <c r="A59" s="2" t="s">
        <v>103</v>
      </c>
    </row>
    <row r="60" spans="1:6" x14ac:dyDescent="0.3">
      <c r="A60" s="8" t="s">
        <v>104</v>
      </c>
      <c r="B60" s="15" t="s">
        <v>69</v>
      </c>
    </row>
    <row r="61" spans="1:6" x14ac:dyDescent="0.3">
      <c r="A61" s="8" t="s">
        <v>105</v>
      </c>
      <c r="B61" s="8">
        <f>MATCH(B60,{"Min","Mod","Max"},0)</f>
        <v>2</v>
      </c>
      <c r="E61" s="4" t="s">
        <v>106</v>
      </c>
    </row>
    <row r="63" spans="1:6" x14ac:dyDescent="0.3">
      <c r="A63" s="8" t="s">
        <v>107</v>
      </c>
      <c r="B63" s="15" t="s">
        <v>69</v>
      </c>
      <c r="E63" s="4" t="s">
        <v>108</v>
      </c>
    </row>
    <row r="64" spans="1:6" x14ac:dyDescent="0.3">
      <c r="A64" s="8" t="s">
        <v>109</v>
      </c>
      <c r="B64" s="8">
        <f>MATCH(B63,{"Min","Mod","Max"},0)</f>
        <v>2</v>
      </c>
    </row>
  </sheetData>
  <dataValidations count="1">
    <dataValidation type="list" sqref="B60 B63" xr:uid="{00000000-0002-0000-0100-000000000000}">
      <formula1>"Min,Mod,Max"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9"/>
  <sheetViews>
    <sheetView showGridLines="0" workbookViewId="0"/>
  </sheetViews>
  <sheetFormatPr defaultRowHeight="14.4" x14ac:dyDescent="0.3"/>
  <cols>
    <col min="1" max="1" width="44" customWidth="1"/>
    <col min="2" max="4" width="16" customWidth="1"/>
    <col min="5" max="5" width="52" customWidth="1"/>
    <col min="6" max="6" width="10" customWidth="1"/>
  </cols>
  <sheetData>
    <row r="1" spans="1:5" ht="17.399999999999999" x14ac:dyDescent="0.3">
      <c r="A1" s="1" t="s">
        <v>110</v>
      </c>
    </row>
    <row r="2" spans="1:5" x14ac:dyDescent="0.3">
      <c r="A2" s="4" t="s">
        <v>111</v>
      </c>
    </row>
    <row r="4" spans="1:5" x14ac:dyDescent="0.3">
      <c r="A4" s="7" t="s">
        <v>112</v>
      </c>
      <c r="B4" s="7" t="s">
        <v>68</v>
      </c>
      <c r="C4" s="7" t="s">
        <v>69</v>
      </c>
      <c r="D4" s="7" t="s">
        <v>70</v>
      </c>
      <c r="E4" s="7" t="s">
        <v>113</v>
      </c>
    </row>
    <row r="5" spans="1:5" x14ac:dyDescent="0.3">
      <c r="A5" s="16" t="s">
        <v>114</v>
      </c>
      <c r="B5" s="17">
        <f>Inputs!$B$13*Inputs!$B$32*Inputs!$B$20</f>
        <v>1152000</v>
      </c>
      <c r="C5" s="17">
        <f>Inputs!$B$13*Inputs!$C$32*Inputs!$B$20</f>
        <v>2304000</v>
      </c>
      <c r="D5" s="17">
        <f>Inputs!$B$13*Inputs!$D$32*Inputs!$B$20</f>
        <v>4032000.0000000005</v>
      </c>
      <c r="E5" s="4" t="s">
        <v>115</v>
      </c>
    </row>
    <row r="6" spans="1:5" x14ac:dyDescent="0.3">
      <c r="A6" s="16" t="s">
        <v>116</v>
      </c>
      <c r="B6" s="17">
        <f>Inputs!$B$16*Inputs!$B$33*Inputs!$B$22</f>
        <v>1235000</v>
      </c>
      <c r="C6" s="17">
        <f>Inputs!$B$16*Inputs!$C$33*Inputs!$B$22</f>
        <v>2470000</v>
      </c>
      <c r="D6" s="17">
        <f>Inputs!$B$16*Inputs!$D$33*Inputs!$B$22</f>
        <v>4322500</v>
      </c>
      <c r="E6" s="4" t="s">
        <v>117</v>
      </c>
    </row>
    <row r="7" spans="1:5" x14ac:dyDescent="0.3">
      <c r="A7" s="16" t="s">
        <v>118</v>
      </c>
      <c r="B7" s="17">
        <f>Inputs!$B$14*Inputs!$B$34*Inputs!$B$21</f>
        <v>560000</v>
      </c>
      <c r="C7" s="17">
        <f>Inputs!$B$14*Inputs!$C$34*Inputs!$B$21</f>
        <v>1120000</v>
      </c>
      <c r="D7" s="17">
        <f>Inputs!$B$14*Inputs!$D$34*Inputs!$B$21</f>
        <v>2240000</v>
      </c>
      <c r="E7" s="4" t="s">
        <v>119</v>
      </c>
    </row>
    <row r="8" spans="1:5" x14ac:dyDescent="0.3">
      <c r="A8" s="16" t="s">
        <v>120</v>
      </c>
      <c r="B8" s="17">
        <f>Inputs!$B$35*Inputs!$B$23</f>
        <v>1620000</v>
      </c>
      <c r="C8" s="17">
        <f>Inputs!$C$35*Inputs!$B$23</f>
        <v>3600000</v>
      </c>
      <c r="D8" s="17">
        <f>Inputs!$D$35*Inputs!$B$23</f>
        <v>5400000</v>
      </c>
      <c r="E8" s="4" t="s">
        <v>121</v>
      </c>
    </row>
    <row r="9" spans="1:5" x14ac:dyDescent="0.3">
      <c r="A9" s="16" t="s">
        <v>122</v>
      </c>
      <c r="B9" s="17">
        <f>Inputs!$B$6*Inputs!$B$26*Inputs!$B$36</f>
        <v>1440000</v>
      </c>
      <c r="C9" s="17">
        <f>Inputs!$B$6*Inputs!$B$26*Inputs!$C$36</f>
        <v>2880000</v>
      </c>
      <c r="D9" s="17">
        <f>Inputs!$B$6*Inputs!$B$26*Inputs!$D$36</f>
        <v>4800000</v>
      </c>
      <c r="E9" s="4" t="s">
        <v>123</v>
      </c>
    </row>
    <row r="10" spans="1:5" x14ac:dyDescent="0.3">
      <c r="A10" s="16" t="s">
        <v>124</v>
      </c>
      <c r="B10" s="17">
        <f>Inputs!$B$6*Inputs!$B$25*Inputs!$B$37*Inputs!$B$24</f>
        <v>800000</v>
      </c>
      <c r="C10" s="17">
        <f>Inputs!$B$6*Inputs!$B$25*Inputs!$C$37*Inputs!$B$24</f>
        <v>1600000</v>
      </c>
      <c r="D10" s="17">
        <f>Inputs!$B$6*Inputs!$B$25*Inputs!$D$37*Inputs!$B$24</f>
        <v>3200000</v>
      </c>
      <c r="E10" s="4" t="s">
        <v>125</v>
      </c>
    </row>
    <row r="11" spans="1:5" x14ac:dyDescent="0.3">
      <c r="A11" s="16" t="s">
        <v>126</v>
      </c>
      <c r="B11" s="17">
        <f>Inputs!$B$27*Inputs!$B$38</f>
        <v>800000</v>
      </c>
      <c r="C11" s="17">
        <f>Inputs!$B$27*Inputs!$C$38</f>
        <v>1280000</v>
      </c>
      <c r="D11" s="17">
        <f>Inputs!$B$27*Inputs!$D$38</f>
        <v>1920000</v>
      </c>
      <c r="E11" s="4" t="s">
        <v>127</v>
      </c>
    </row>
    <row r="12" spans="1:5" x14ac:dyDescent="0.3">
      <c r="A12" s="2" t="s">
        <v>128</v>
      </c>
      <c r="B12" s="18">
        <f>SUM(B5:B11)</f>
        <v>7607000</v>
      </c>
      <c r="C12" s="18">
        <f>SUM(C5:C11)</f>
        <v>15254000</v>
      </c>
      <c r="D12" s="18">
        <f>SUM(D5:D11)</f>
        <v>25914500</v>
      </c>
    </row>
    <row r="14" spans="1:5" x14ac:dyDescent="0.3">
      <c r="A14" s="2" t="s">
        <v>129</v>
      </c>
    </row>
    <row r="15" spans="1:5" x14ac:dyDescent="0.3">
      <c r="A15" s="4" t="s">
        <v>130</v>
      </c>
    </row>
    <row r="16" spans="1:5" x14ac:dyDescent="0.3">
      <c r="A16" s="4" t="s">
        <v>131</v>
      </c>
    </row>
    <row r="17" spans="1:1" x14ac:dyDescent="0.3">
      <c r="A17" s="4" t="s">
        <v>132</v>
      </c>
    </row>
    <row r="18" spans="1:1" x14ac:dyDescent="0.3">
      <c r="A18" s="4" t="s">
        <v>133</v>
      </c>
    </row>
    <row r="19" spans="1:1" x14ac:dyDescent="0.3">
      <c r="A19" s="4" t="s">
        <v>134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3"/>
  <sheetViews>
    <sheetView showGridLines="0" workbookViewId="0"/>
  </sheetViews>
  <sheetFormatPr defaultRowHeight="14.4" x14ac:dyDescent="0.3"/>
  <cols>
    <col min="1" max="1" width="44" customWidth="1"/>
    <col min="2" max="5" width="16" customWidth="1"/>
  </cols>
  <sheetData>
    <row r="1" spans="1:6" ht="17.399999999999999" x14ac:dyDescent="0.3">
      <c r="A1" s="1" t="s">
        <v>135</v>
      </c>
    </row>
    <row r="2" spans="1:6" x14ac:dyDescent="0.3">
      <c r="A2" s="4" t="s">
        <v>136</v>
      </c>
    </row>
    <row r="4" spans="1:6" ht="28.2" x14ac:dyDescent="0.3">
      <c r="A4" s="7" t="s">
        <v>137</v>
      </c>
      <c r="B4" s="7" t="s">
        <v>95</v>
      </c>
      <c r="C4" s="7" t="s">
        <v>96</v>
      </c>
      <c r="D4" s="7" t="s">
        <v>97</v>
      </c>
      <c r="E4" s="7" t="s">
        <v>138</v>
      </c>
    </row>
    <row r="5" spans="1:6" x14ac:dyDescent="0.3">
      <c r="A5" s="8" t="s">
        <v>139</v>
      </c>
      <c r="B5" s="17">
        <f>INDEX(Inputs!$B$43:$D$43,Inputs!$B$64)</f>
        <v>3400000</v>
      </c>
      <c r="C5" s="12">
        <v>0</v>
      </c>
      <c r="D5" s="12">
        <v>0</v>
      </c>
      <c r="E5" s="12">
        <f t="shared" ref="E5:E12" si="0">SUM(B5:D5)</f>
        <v>3400000</v>
      </c>
    </row>
    <row r="6" spans="1:6" x14ac:dyDescent="0.3">
      <c r="A6" s="8" t="s">
        <v>140</v>
      </c>
      <c r="B6" s="17">
        <f>INDEX(Inputs!$B$44:$D$44,Inputs!$B$64)</f>
        <v>1300000</v>
      </c>
      <c r="C6" s="12">
        <v>0</v>
      </c>
      <c r="D6" s="12">
        <v>0</v>
      </c>
      <c r="E6" s="12">
        <f t="shared" si="0"/>
        <v>1300000</v>
      </c>
    </row>
    <row r="7" spans="1:6" x14ac:dyDescent="0.3">
      <c r="A7" s="8" t="s">
        <v>141</v>
      </c>
      <c r="B7" s="17">
        <f>INDEX(Inputs!$B$45:$D$45,Inputs!$B$64)</f>
        <v>1000000</v>
      </c>
      <c r="C7" s="12">
        <v>0</v>
      </c>
      <c r="D7" s="12">
        <v>0</v>
      </c>
      <c r="E7" s="12">
        <f t="shared" si="0"/>
        <v>1000000</v>
      </c>
    </row>
    <row r="8" spans="1:6" x14ac:dyDescent="0.3">
      <c r="A8" s="8" t="s">
        <v>142</v>
      </c>
      <c r="B8" s="17">
        <f>INDEX(Inputs!$B$46:$D$46,Inputs!$B$64)</f>
        <v>720000</v>
      </c>
      <c r="C8" s="17">
        <f>INDEX(Inputs!$B$46:$D$46,Inputs!$B$64)</f>
        <v>720000</v>
      </c>
      <c r="D8" s="17">
        <f>INDEX(Inputs!$B$46:$D$46,Inputs!$B$64)</f>
        <v>720000</v>
      </c>
      <c r="E8" s="12">
        <f t="shared" si="0"/>
        <v>2160000</v>
      </c>
    </row>
    <row r="9" spans="1:6" x14ac:dyDescent="0.3">
      <c r="A9" s="8" t="s">
        <v>143</v>
      </c>
      <c r="B9" s="17">
        <f>INDEX(Inputs!$B$47:$D$47,Inputs!$B$64)</f>
        <v>3300000</v>
      </c>
      <c r="C9" s="17">
        <f>INDEX(Inputs!$B$47:$D$47,Inputs!$B$64)</f>
        <v>3300000</v>
      </c>
      <c r="D9" s="17">
        <f>INDEX(Inputs!$B$47:$D$47,Inputs!$B$64)</f>
        <v>3300000</v>
      </c>
      <c r="E9" s="12">
        <f t="shared" si="0"/>
        <v>9900000</v>
      </c>
    </row>
    <row r="10" spans="1:6" x14ac:dyDescent="0.3">
      <c r="A10" s="8" t="s">
        <v>144</v>
      </c>
      <c r="B10" s="17">
        <f>INDEX(Inputs!$B$48:$D$48,Inputs!$B$64)</f>
        <v>830000</v>
      </c>
      <c r="C10" s="17">
        <f>INDEX(Inputs!$B$48:$D$48,Inputs!$B$64)</f>
        <v>830000</v>
      </c>
      <c r="D10" s="17">
        <f>INDEX(Inputs!$B$48:$D$48,Inputs!$B$64)</f>
        <v>830000</v>
      </c>
      <c r="E10" s="12">
        <f t="shared" si="0"/>
        <v>2490000</v>
      </c>
    </row>
    <row r="11" spans="1:6" x14ac:dyDescent="0.3">
      <c r="A11" s="8" t="s">
        <v>145</v>
      </c>
      <c r="B11" s="17">
        <f>INDEX(Inputs!$B$49:$D$49,Inputs!$B$64)</f>
        <v>350000</v>
      </c>
      <c r="C11" s="17">
        <f>INDEX(Inputs!$B$49:$D$49,Inputs!$B$64)</f>
        <v>350000</v>
      </c>
      <c r="D11" s="17">
        <f>INDEX(Inputs!$B$49:$D$49,Inputs!$B$64)</f>
        <v>350000</v>
      </c>
      <c r="E11" s="12">
        <f t="shared" si="0"/>
        <v>1050000</v>
      </c>
    </row>
    <row r="12" spans="1:6" x14ac:dyDescent="0.3">
      <c r="A12" s="8" t="s">
        <v>146</v>
      </c>
      <c r="B12" s="11">
        <v>0</v>
      </c>
      <c r="C12" s="17">
        <f>INDEX(Inputs!$B$35:$D$35,Inputs!$B$61)*Inputs!$B$23*0.25</f>
        <v>900000</v>
      </c>
      <c r="D12" s="12">
        <v>0</v>
      </c>
      <c r="E12" s="12">
        <f t="shared" si="0"/>
        <v>900000</v>
      </c>
      <c r="F12" s="4" t="s">
        <v>147</v>
      </c>
    </row>
    <row r="13" spans="1:6" x14ac:dyDescent="0.3">
      <c r="A13" s="2" t="s">
        <v>148</v>
      </c>
      <c r="B13" s="18">
        <f>SUM(B5:B12)</f>
        <v>10900000</v>
      </c>
      <c r="C13" s="18">
        <f>SUM(C5:C12)</f>
        <v>6100000</v>
      </c>
      <c r="D13" s="18">
        <f>SUM(D5:D12)</f>
        <v>5200000</v>
      </c>
      <c r="E13" s="18">
        <f>SUM(E5:E12)</f>
        <v>22200000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9"/>
  <sheetViews>
    <sheetView showGridLines="0" workbookViewId="0"/>
  </sheetViews>
  <sheetFormatPr defaultRowHeight="14.4" x14ac:dyDescent="0.3"/>
  <cols>
    <col min="1" max="1" width="44" customWidth="1"/>
    <col min="2" max="5" width="16" customWidth="1"/>
  </cols>
  <sheetData>
    <row r="1" spans="1:5" ht="17.399999999999999" x14ac:dyDescent="0.3">
      <c r="A1" s="1" t="s">
        <v>149</v>
      </c>
    </row>
    <row r="2" spans="1:5" x14ac:dyDescent="0.3">
      <c r="A2" s="2" t="str">
        <f>CONCATENATE("Benefit scenario: ",Inputs!B60,"    |    Cost scenario: ",Inputs!B63)</f>
        <v>Benefit scenario: Mod    |    Cost scenario: Mod</v>
      </c>
    </row>
    <row r="4" spans="1:5" ht="28.2" x14ac:dyDescent="0.3">
      <c r="A4" s="7"/>
      <c r="B4" s="7" t="s">
        <v>95</v>
      </c>
      <c r="C4" s="7" t="s">
        <v>96</v>
      </c>
      <c r="D4" s="7" t="s">
        <v>97</v>
      </c>
      <c r="E4" s="7" t="s">
        <v>138</v>
      </c>
    </row>
    <row r="5" spans="1:5" x14ac:dyDescent="0.3">
      <c r="A5" s="8" t="s">
        <v>150</v>
      </c>
      <c r="B5" s="17">
        <f>INDEX(Levers!$B$12:$D$12,Inputs!$B$61)</f>
        <v>15254000</v>
      </c>
      <c r="C5" s="17">
        <f>INDEX(Levers!$B$12:$D$12,Inputs!$B$61)</f>
        <v>15254000</v>
      </c>
      <c r="D5" s="17">
        <f>INDEX(Levers!$B$12:$D$12,Inputs!$B$61)</f>
        <v>15254000</v>
      </c>
    </row>
    <row r="6" spans="1:5" x14ac:dyDescent="0.3">
      <c r="A6" s="8" t="s">
        <v>151</v>
      </c>
      <c r="B6" s="19">
        <f>Inputs!$B$54</f>
        <v>0.2</v>
      </c>
      <c r="C6" s="19">
        <f>Inputs!$C$54</f>
        <v>0.6</v>
      </c>
      <c r="D6" s="19">
        <f>Inputs!$D$54</f>
        <v>1</v>
      </c>
    </row>
    <row r="7" spans="1:5" x14ac:dyDescent="0.3">
      <c r="A7" s="8" t="s">
        <v>152</v>
      </c>
      <c r="B7" s="19">
        <f>Inputs!$B$55</f>
        <v>0</v>
      </c>
      <c r="C7" s="19">
        <f>Inputs!$B$55</f>
        <v>0</v>
      </c>
      <c r="D7" s="19">
        <f>Inputs!$B$55</f>
        <v>0</v>
      </c>
    </row>
    <row r="8" spans="1:5" x14ac:dyDescent="0.3">
      <c r="A8" s="2" t="s">
        <v>153</v>
      </c>
      <c r="B8" s="18">
        <f>B5*B6*(1-B7)</f>
        <v>3050800</v>
      </c>
      <c r="C8" s="18">
        <f>C5*C6*(1-C7)</f>
        <v>9152400</v>
      </c>
      <c r="D8" s="18">
        <f>D5*D6*(1-D7)</f>
        <v>15254000</v>
      </c>
      <c r="E8" s="18">
        <f>SUM(B8:D8)</f>
        <v>27457200</v>
      </c>
    </row>
    <row r="9" spans="1:5" x14ac:dyDescent="0.3">
      <c r="A9" s="8" t="s">
        <v>154</v>
      </c>
      <c r="B9" s="17">
        <f>Cost!B13</f>
        <v>10900000</v>
      </c>
      <c r="C9" s="17">
        <f>Cost!C13</f>
        <v>6100000</v>
      </c>
      <c r="D9" s="17">
        <f>Cost!D13</f>
        <v>5200000</v>
      </c>
      <c r="E9" s="17">
        <f>Cost!E13</f>
        <v>22200000</v>
      </c>
    </row>
    <row r="10" spans="1:5" x14ac:dyDescent="0.3">
      <c r="A10" s="2" t="s">
        <v>155</v>
      </c>
      <c r="B10" s="18">
        <f>B8-B9</f>
        <v>-7849200</v>
      </c>
      <c r="C10" s="18">
        <f>C8-C9</f>
        <v>3052400</v>
      </c>
      <c r="D10" s="18">
        <f>D8-D9</f>
        <v>10054000</v>
      </c>
      <c r="E10" s="18">
        <f>E8-E9</f>
        <v>5257200</v>
      </c>
    </row>
    <row r="11" spans="1:5" x14ac:dyDescent="0.3">
      <c r="A11" s="8" t="s">
        <v>156</v>
      </c>
      <c r="B11" s="12">
        <f>B10</f>
        <v>-7849200</v>
      </c>
      <c r="C11" s="12">
        <f>B11+C10</f>
        <v>-4796800</v>
      </c>
      <c r="D11" s="12">
        <f>C11+D10</f>
        <v>5257200</v>
      </c>
    </row>
    <row r="13" spans="1:5" x14ac:dyDescent="0.3">
      <c r="A13" s="2" t="s">
        <v>157</v>
      </c>
      <c r="B13" s="20">
        <f>IF(E9=0,0,E10/E9)</f>
        <v>0.23681081081081082</v>
      </c>
    </row>
    <row r="14" spans="1:5" x14ac:dyDescent="0.3">
      <c r="A14" s="2" t="s">
        <v>158</v>
      </c>
      <c r="B14" s="2" t="str">
        <f>IF(D11&gt;0,IF(C11&gt;0,IF(B11&gt;0,"Year 1","Year 2"),"Year 3"),"Beyond year 3")</f>
        <v>Year 3</v>
      </c>
    </row>
    <row r="16" spans="1:5" x14ac:dyDescent="0.3">
      <c r="A16" s="2" t="s">
        <v>159</v>
      </c>
    </row>
    <row r="17" spans="1:2" x14ac:dyDescent="0.3">
      <c r="A17" s="8" t="str">
        <f>Levers!A5</f>
        <v>1  Speed to answer -&gt; admissions (SOC-capable pool)</v>
      </c>
      <c r="B17" s="17">
        <f>INDEX(Levers!$B$5:$D$5,Inputs!$B$61)</f>
        <v>2304000</v>
      </c>
    </row>
    <row r="18" spans="1:2" x14ac:dyDescent="0.3">
      <c r="A18" s="8" t="str">
        <f>Levers!A6</f>
        <v>2  Routine throughput and fill rate (paraprofessional pool)</v>
      </c>
      <c r="B18" s="17">
        <f>INDEX(Levers!$B$6:$D$6,Inputs!$B$61)</f>
        <v>2470000</v>
      </c>
    </row>
    <row r="19" spans="1:2" x14ac:dyDescent="0.3">
      <c r="A19" s="8" t="str">
        <f>Levers!A7</f>
        <v>3  LUPA as a scheduling gear</v>
      </c>
      <c r="B19" s="17">
        <f>INDEX(Levers!$B$7:$D$7,Inputs!$B$61)</f>
        <v>1120000</v>
      </c>
    </row>
    <row r="20" spans="1:2" x14ac:dyDescent="0.3">
      <c r="A20" s="8" t="str">
        <f>Levers!A8</f>
        <v>4  Scheduler capacity released</v>
      </c>
      <c r="B20" s="17">
        <f>INDEX(Levers!$B$8:$D$8,Inputs!$B$61)</f>
        <v>3600000</v>
      </c>
    </row>
    <row r="21" spans="1:2" x14ac:dyDescent="0.3">
      <c r="A21" s="8" t="str">
        <f>Levers!A9</f>
        <v>5  Premium and contract labour recovered</v>
      </c>
      <c r="B21" s="17">
        <f>INDEX(Levers!$B$9:$D$9,Inputs!$B$61)</f>
        <v>2880000</v>
      </c>
    </row>
    <row r="22" spans="1:2" x14ac:dyDescent="0.3">
      <c r="A22" s="8" t="str">
        <f>Levers!A10</f>
        <v>6  Clinician retention</v>
      </c>
      <c r="B22" s="17">
        <f>INDEX(Levers!$B$10:$D$10,Inputs!$B$61)</f>
        <v>1600000</v>
      </c>
    </row>
    <row r="23" spans="1:2" x14ac:dyDescent="0.3">
      <c r="A23" s="8" t="str">
        <f>Levers!A11</f>
        <v>7  Travel and mileage</v>
      </c>
      <c r="B23" s="17">
        <f>INDEX(Levers!$B$11:$D$11,Inputs!$B$61)</f>
        <v>1280000</v>
      </c>
    </row>
    <row r="24" spans="1:2" x14ac:dyDescent="0.3">
      <c r="A24" s="2" t="s">
        <v>160</v>
      </c>
      <c r="B24" s="18">
        <f>SUM(B17:B23)</f>
        <v>15254000</v>
      </c>
    </row>
    <row r="26" spans="1:2" x14ac:dyDescent="0.3">
      <c r="A26" s="2" t="s">
        <v>161</v>
      </c>
    </row>
    <row r="27" spans="1:2" x14ac:dyDescent="0.3">
      <c r="A27" s="4" t="s">
        <v>162</v>
      </c>
    </row>
    <row r="28" spans="1:2" x14ac:dyDescent="0.3">
      <c r="A28" s="4" t="s">
        <v>163</v>
      </c>
    </row>
    <row r="29" spans="1:2" x14ac:dyDescent="0.3">
      <c r="A29" s="4" t="s">
        <v>164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9"/>
  <sheetViews>
    <sheetView showGridLines="0" workbookViewId="0"/>
  </sheetViews>
  <sheetFormatPr defaultRowHeight="14.4" x14ac:dyDescent="0.3"/>
  <cols>
    <col min="1" max="1" width="34" customWidth="1"/>
    <col min="2" max="2" width="40" customWidth="1"/>
    <col min="3" max="3" width="22" customWidth="1"/>
    <col min="4" max="4" width="26" customWidth="1"/>
    <col min="5" max="5" width="14" customWidth="1"/>
    <col min="6" max="6" width="40" customWidth="1"/>
    <col min="7" max="7" width="14" customWidth="1"/>
  </cols>
  <sheetData>
    <row r="1" spans="1:7" ht="17.399999999999999" x14ac:dyDescent="0.3">
      <c r="A1" s="1" t="s">
        <v>165</v>
      </c>
    </row>
    <row r="2" spans="1:7" x14ac:dyDescent="0.3">
      <c r="A2" s="4" t="s">
        <v>166</v>
      </c>
    </row>
    <row r="4" spans="1:7" ht="28.2" x14ac:dyDescent="0.3">
      <c r="A4" s="7" t="s">
        <v>167</v>
      </c>
      <c r="B4" s="7" t="s">
        <v>168</v>
      </c>
      <c r="C4" s="7" t="s">
        <v>169</v>
      </c>
      <c r="D4" s="7" t="s">
        <v>170</v>
      </c>
      <c r="E4" s="7" t="s">
        <v>171</v>
      </c>
      <c r="F4" s="7" t="s">
        <v>172</v>
      </c>
      <c r="G4" s="7" t="s">
        <v>173</v>
      </c>
    </row>
    <row r="5" spans="1:7" ht="28.05" customHeight="1" x14ac:dyDescent="0.3">
      <c r="A5" s="3" t="s">
        <v>42</v>
      </c>
      <c r="B5" s="3" t="s">
        <v>174</v>
      </c>
      <c r="C5" s="3" t="s">
        <v>175</v>
      </c>
      <c r="D5" s="3" t="s">
        <v>176</v>
      </c>
      <c r="E5" s="3" t="s">
        <v>177</v>
      </c>
      <c r="F5" s="21" t="s">
        <v>178</v>
      </c>
      <c r="G5" s="3" t="s">
        <v>179</v>
      </c>
    </row>
    <row r="6" spans="1:7" ht="28.05" customHeight="1" x14ac:dyDescent="0.3">
      <c r="A6" s="3" t="s">
        <v>180</v>
      </c>
      <c r="B6" s="3" t="s">
        <v>181</v>
      </c>
      <c r="C6" s="3" t="s">
        <v>175</v>
      </c>
      <c r="D6" s="3" t="s">
        <v>182</v>
      </c>
      <c r="E6" s="3" t="s">
        <v>183</v>
      </c>
      <c r="F6" s="21" t="s">
        <v>184</v>
      </c>
      <c r="G6" s="3" t="s">
        <v>185</v>
      </c>
    </row>
    <row r="7" spans="1:7" ht="28.05" customHeight="1" x14ac:dyDescent="0.3">
      <c r="A7" s="3" t="s">
        <v>186</v>
      </c>
      <c r="B7" s="3" t="s">
        <v>187</v>
      </c>
      <c r="C7" s="3" t="s">
        <v>175</v>
      </c>
      <c r="D7" s="3" t="s">
        <v>188</v>
      </c>
      <c r="E7" s="22" t="s">
        <v>189</v>
      </c>
      <c r="F7" s="21" t="s">
        <v>190</v>
      </c>
      <c r="G7" s="3" t="s">
        <v>191</v>
      </c>
    </row>
    <row r="8" spans="1:7" ht="28.05" customHeight="1" x14ac:dyDescent="0.3">
      <c r="A8" s="3" t="s">
        <v>192</v>
      </c>
      <c r="B8" s="3" t="s">
        <v>193</v>
      </c>
      <c r="C8" s="3" t="s">
        <v>175</v>
      </c>
      <c r="D8" s="3" t="s">
        <v>194</v>
      </c>
      <c r="E8" s="22" t="s">
        <v>189</v>
      </c>
      <c r="F8" s="21" t="s">
        <v>195</v>
      </c>
      <c r="G8" s="3" t="s">
        <v>191</v>
      </c>
    </row>
    <row r="9" spans="1:7" ht="28.05" customHeight="1" x14ac:dyDescent="0.3">
      <c r="A9" s="3" t="s">
        <v>196</v>
      </c>
      <c r="B9" s="3" t="s">
        <v>197</v>
      </c>
      <c r="C9" s="3" t="s">
        <v>198</v>
      </c>
      <c r="D9" s="3" t="s">
        <v>199</v>
      </c>
      <c r="E9" s="3" t="s">
        <v>183</v>
      </c>
      <c r="F9" s="21" t="s">
        <v>200</v>
      </c>
      <c r="G9" s="3" t="s">
        <v>185</v>
      </c>
    </row>
    <row r="10" spans="1:7" ht="28.05" customHeight="1" x14ac:dyDescent="0.3">
      <c r="A10" s="3" t="s">
        <v>201</v>
      </c>
      <c r="B10" s="3" t="s">
        <v>202</v>
      </c>
      <c r="C10" s="3" t="s">
        <v>203</v>
      </c>
      <c r="D10" s="3" t="s">
        <v>199</v>
      </c>
      <c r="E10" s="3" t="s">
        <v>177</v>
      </c>
      <c r="F10" s="21" t="s">
        <v>204</v>
      </c>
      <c r="G10" s="3" t="s">
        <v>179</v>
      </c>
    </row>
    <row r="11" spans="1:7" ht="28.05" customHeight="1" x14ac:dyDescent="0.3">
      <c r="A11" s="3" t="s">
        <v>205</v>
      </c>
      <c r="B11" s="3" t="s">
        <v>206</v>
      </c>
      <c r="C11" s="3" t="s">
        <v>198</v>
      </c>
      <c r="D11" s="3" t="s">
        <v>207</v>
      </c>
      <c r="E11" s="3" t="s">
        <v>183</v>
      </c>
      <c r="F11" s="21" t="s">
        <v>208</v>
      </c>
      <c r="G11" s="3" t="s">
        <v>185</v>
      </c>
    </row>
    <row r="12" spans="1:7" ht="28.05" customHeight="1" x14ac:dyDescent="0.3">
      <c r="A12" s="3" t="s">
        <v>209</v>
      </c>
      <c r="B12" s="3" t="s">
        <v>210</v>
      </c>
      <c r="C12" s="3" t="s">
        <v>198</v>
      </c>
      <c r="D12" s="3" t="s">
        <v>199</v>
      </c>
      <c r="E12" s="22" t="s">
        <v>189</v>
      </c>
      <c r="F12" s="21" t="s">
        <v>211</v>
      </c>
      <c r="G12" s="3" t="s">
        <v>185</v>
      </c>
    </row>
    <row r="13" spans="1:7" ht="28.05" customHeight="1" x14ac:dyDescent="0.3">
      <c r="A13" s="3" t="s">
        <v>212</v>
      </c>
      <c r="B13" s="3" t="s">
        <v>213</v>
      </c>
      <c r="C13" s="3" t="s">
        <v>214</v>
      </c>
      <c r="D13" s="3" t="s">
        <v>215</v>
      </c>
      <c r="E13" s="3" t="s">
        <v>183</v>
      </c>
      <c r="F13" s="21" t="s">
        <v>216</v>
      </c>
      <c r="G13" s="3" t="s">
        <v>185</v>
      </c>
    </row>
    <row r="14" spans="1:7" ht="28.05" customHeight="1" x14ac:dyDescent="0.3">
      <c r="A14" s="3" t="s">
        <v>217</v>
      </c>
      <c r="B14" s="3" t="s">
        <v>218</v>
      </c>
      <c r="C14" s="3" t="s">
        <v>214</v>
      </c>
      <c r="D14" s="3" t="s">
        <v>219</v>
      </c>
      <c r="E14" s="22" t="s">
        <v>189</v>
      </c>
      <c r="F14" s="21" t="s">
        <v>220</v>
      </c>
      <c r="G14" s="3" t="s">
        <v>191</v>
      </c>
    </row>
    <row r="15" spans="1:7" ht="28.05" customHeight="1" x14ac:dyDescent="0.3">
      <c r="A15" s="3" t="s">
        <v>221</v>
      </c>
      <c r="B15" s="3" t="s">
        <v>222</v>
      </c>
      <c r="C15" s="3" t="s">
        <v>223</v>
      </c>
      <c r="D15" s="3" t="s">
        <v>224</v>
      </c>
      <c r="E15" s="3" t="s">
        <v>177</v>
      </c>
      <c r="F15" s="21" t="s">
        <v>225</v>
      </c>
      <c r="G15" s="3" t="s">
        <v>179</v>
      </c>
    </row>
    <row r="16" spans="1:7" ht="28.05" customHeight="1" x14ac:dyDescent="0.3">
      <c r="A16" s="3" t="s">
        <v>226</v>
      </c>
      <c r="B16" s="3" t="s">
        <v>227</v>
      </c>
      <c r="C16" s="3" t="s">
        <v>228</v>
      </c>
      <c r="D16" s="3" t="s">
        <v>229</v>
      </c>
      <c r="E16" s="3" t="s">
        <v>177</v>
      </c>
      <c r="F16" s="21" t="s">
        <v>230</v>
      </c>
      <c r="G16" s="3" t="s">
        <v>179</v>
      </c>
    </row>
    <row r="17" spans="1:7" ht="28.05" customHeight="1" x14ac:dyDescent="0.3">
      <c r="A17" s="3" t="s">
        <v>231</v>
      </c>
      <c r="B17" s="3" t="s">
        <v>232</v>
      </c>
      <c r="C17" s="3" t="s">
        <v>233</v>
      </c>
      <c r="D17" s="3" t="s">
        <v>234</v>
      </c>
      <c r="E17" s="3" t="s">
        <v>177</v>
      </c>
      <c r="F17" s="21" t="s">
        <v>235</v>
      </c>
      <c r="G17" s="3" t="s">
        <v>179</v>
      </c>
    </row>
    <row r="18" spans="1:7" ht="28.05" customHeight="1" x14ac:dyDescent="0.3">
      <c r="A18" s="3" t="s">
        <v>236</v>
      </c>
      <c r="B18" s="3" t="s">
        <v>237</v>
      </c>
      <c r="C18" s="3" t="s">
        <v>233</v>
      </c>
      <c r="D18" s="3" t="s">
        <v>199</v>
      </c>
      <c r="E18" s="22" t="s">
        <v>189</v>
      </c>
      <c r="F18" s="21" t="s">
        <v>238</v>
      </c>
      <c r="G18" s="3" t="s">
        <v>179</v>
      </c>
    </row>
    <row r="19" spans="1:7" ht="28.05" customHeight="1" x14ac:dyDescent="0.3">
      <c r="A19" s="3" t="s">
        <v>239</v>
      </c>
      <c r="B19" s="3" t="s">
        <v>240</v>
      </c>
      <c r="C19" s="3" t="s">
        <v>233</v>
      </c>
      <c r="D19" s="3" t="s">
        <v>241</v>
      </c>
      <c r="E19" s="22" t="s">
        <v>189</v>
      </c>
      <c r="F19" s="21" t="s">
        <v>242</v>
      </c>
      <c r="G19" s="3" t="s">
        <v>185</v>
      </c>
    </row>
    <row r="20" spans="1:7" ht="28.05" customHeight="1" x14ac:dyDescent="0.3">
      <c r="A20" s="3" t="s">
        <v>243</v>
      </c>
      <c r="B20" s="3" t="s">
        <v>244</v>
      </c>
      <c r="C20" s="3" t="s">
        <v>245</v>
      </c>
      <c r="D20" s="3" t="s">
        <v>246</v>
      </c>
      <c r="E20" s="3" t="s">
        <v>183</v>
      </c>
      <c r="F20" s="21" t="s">
        <v>247</v>
      </c>
      <c r="G20" s="3" t="s">
        <v>185</v>
      </c>
    </row>
    <row r="21" spans="1:7" ht="28.05" customHeight="1" x14ac:dyDescent="0.3">
      <c r="A21" s="3" t="s">
        <v>248</v>
      </c>
      <c r="B21" s="3" t="s">
        <v>249</v>
      </c>
      <c r="C21" s="3" t="s">
        <v>250</v>
      </c>
      <c r="D21" s="3" t="s">
        <v>251</v>
      </c>
      <c r="E21" s="22" t="s">
        <v>189</v>
      </c>
      <c r="F21" s="21" t="s">
        <v>252</v>
      </c>
      <c r="G21" s="3" t="s">
        <v>191</v>
      </c>
    </row>
    <row r="22" spans="1:7" ht="28.05" customHeight="1" x14ac:dyDescent="0.3">
      <c r="A22" s="3" t="s">
        <v>253</v>
      </c>
      <c r="B22" s="3" t="s">
        <v>254</v>
      </c>
      <c r="C22" s="3" t="s">
        <v>250</v>
      </c>
      <c r="D22" s="3" t="s">
        <v>255</v>
      </c>
      <c r="E22" s="22" t="s">
        <v>189</v>
      </c>
      <c r="F22" s="21" t="s">
        <v>256</v>
      </c>
      <c r="G22" s="3" t="s">
        <v>185</v>
      </c>
    </row>
    <row r="23" spans="1:7" ht="28.05" customHeight="1" x14ac:dyDescent="0.3">
      <c r="A23" s="3" t="s">
        <v>257</v>
      </c>
      <c r="B23" s="3" t="s">
        <v>258</v>
      </c>
      <c r="C23" s="3" t="s">
        <v>259</v>
      </c>
      <c r="D23" s="3" t="s">
        <v>229</v>
      </c>
      <c r="E23" s="3" t="s">
        <v>177</v>
      </c>
      <c r="F23" s="21" t="s">
        <v>260</v>
      </c>
      <c r="G23" s="3" t="s">
        <v>179</v>
      </c>
    </row>
    <row r="24" spans="1:7" ht="28.05" customHeight="1" x14ac:dyDescent="0.3">
      <c r="A24" s="3" t="s">
        <v>261</v>
      </c>
      <c r="B24" s="3" t="s">
        <v>262</v>
      </c>
      <c r="C24" s="3" t="s">
        <v>263</v>
      </c>
      <c r="D24" s="3" t="s">
        <v>264</v>
      </c>
      <c r="E24" s="22" t="s">
        <v>189</v>
      </c>
      <c r="F24" s="21" t="s">
        <v>265</v>
      </c>
      <c r="G24" s="3" t="s">
        <v>191</v>
      </c>
    </row>
    <row r="26" spans="1:7" x14ac:dyDescent="0.3">
      <c r="A26" s="2" t="s">
        <v>266</v>
      </c>
    </row>
    <row r="27" spans="1:7" x14ac:dyDescent="0.3">
      <c r="A27" s="4" t="s">
        <v>267</v>
      </c>
    </row>
    <row r="28" spans="1:7" x14ac:dyDescent="0.3">
      <c r="A28" s="4" t="s">
        <v>268</v>
      </c>
    </row>
    <row r="29" spans="1:7" x14ac:dyDescent="0.3">
      <c r="A29" s="4" t="s">
        <v>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Inputs</vt:lpstr>
      <vt:lpstr>Levers</vt:lpstr>
      <vt:lpstr>Cost</vt:lpstr>
      <vt:lpstr>Summary</vt:lpstr>
      <vt:lpstr>Baseline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Colin Highland</cp:lastModifiedBy>
  <dcterms:created xsi:type="dcterms:W3CDTF">2026-08-31T18:53:13Z</dcterms:created>
  <dcterms:modified xsi:type="dcterms:W3CDTF">2026-08-31T18:53:15Z</dcterms:modified>
</cp:coreProperties>
</file>