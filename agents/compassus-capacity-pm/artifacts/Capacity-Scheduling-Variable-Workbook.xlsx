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aster List" sheetId="2" state="visible" r:id="rId2"/>
    <sheet name="Lists" sheetId="3" state="visible" r:id="rId3"/>
    <sheet name="Roles" sheetId="4" state="visible" r:id="rId4"/>
  </sheets>
  <definedNames>
    <definedName name="_xlnm._FilterDatabase" localSheetId="1" hidden="1">'Master List'!$A$1:$U$89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5">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6"/>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79 of them, the full inventory with nothing dropped. This is the sheet we edit together.</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Straight from the Module column of the 19 Aug workbook. That column is authoritative — change it there, not here.</t>
        </is>
      </c>
    </row>
    <row r="13">
      <c r="B13" s="4" t="inlineStr">
        <is>
          <t>Also touches</t>
        </is>
      </c>
      <c r="C13" s="5" t="inlineStr">
        <is>
          <t>The other arenas the variable shows up in. Plenty are shared — that is expected, not a problem to resolve.</t>
        </is>
      </c>
    </row>
    <row r="14">
      <c r="B14" s="4" t="inlineStr">
        <is>
          <t>One-pager group</t>
        </is>
      </c>
      <c r="C14" s="5" t="inlineStr">
        <is>
          <t>The ten group headings from the vendor one-pager. Part B of the questionnaire scores exactly these groups.</t>
        </is>
      </c>
    </row>
    <row r="15">
      <c r="B15" s="4" t="inlineStr">
        <is>
          <t>Placement check</t>
        </is>
      </c>
      <c r="C15"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6">
      <c r="B16" s="4" t="inlineStr">
        <is>
          <t>In plain terms</t>
        </is>
      </c>
      <c r="C16" s="5" t="inlineStr">
        <is>
          <t>Written for a reader with no home-health background. If a sentence needs clinical knowledge to parse, it needs rewriting.</t>
        </is>
      </c>
    </row>
    <row r="17">
      <c r="B17" s="4" t="inlineStr">
        <is>
          <t>Who does the work today</t>
        </is>
      </c>
      <c r="C17" s="5" t="inlineStr">
        <is>
          <t>The role that physically performs the task. Shared ownership is fine — 'DCS and Scheduler' is a real answer.</t>
        </is>
      </c>
    </row>
    <row r="18">
      <c r="B18" s="4" t="inlineStr">
        <is>
          <t>Who reads it and decides today</t>
        </is>
      </c>
      <c r="C18" s="5" t="inlineStr">
        <is>
          <t>The role that looks at the result and acts. Often a different person from the one who does the work, and sometimes the honest answer is nobody — those rows are marked '— no one today' and they are the interesting ones.</t>
        </is>
      </c>
    </row>
    <row r="19">
      <c r="B19" s="4" t="inlineStr">
        <is>
          <t>Where the information lives today</t>
        </is>
      </c>
      <c r="C19" s="5" t="inlineStr">
        <is>
          <t>The system, screen or note it sits in. Shaded by how sure we are — see the confidence key below.</t>
        </is>
      </c>
    </row>
    <row r="20">
      <c r="B20" s="4" t="inlineStr">
        <is>
          <t>Future state -- the tool's role</t>
        </is>
      </c>
      <c r="C20" s="5" t="inlineStr">
        <is>
          <t>Automate (the tool does it), Assist (the tool proposes, a person confirms), Surface (the tool shows, a person decides), Stays manual (unchanged).</t>
        </is>
      </c>
    </row>
    <row r="21">
      <c r="B21" s="4" t="inlineStr">
        <is>
          <t>Future state -- who decides</t>
        </is>
      </c>
      <c r="C21" s="5" t="inlineStr">
        <is>
          <t>For Assist and Surface rows, the person who confirms or acts. For Automate rows, who owns the exception when automation cannot resolve it.</t>
        </is>
      </c>
    </row>
    <row r="22">
      <c r="B22" s="4" t="inlineStr">
        <is>
          <t>Trigger / how often</t>
        </is>
      </c>
      <c r="C22" s="5" t="inlineStr">
        <is>
          <t>What sets the task off and at what rhythm. This is the column the future-state maps are built from — a map is a sequence of triggers.</t>
        </is>
      </c>
    </row>
    <row r="23">
      <c r="B23" s="6" t="inlineStr">
        <is>
          <t>Confidence key -- where to jump in first</t>
        </is>
      </c>
      <c r="C23" s="5" t="inlineStr">
        <is>
          <t>Stable = record it once and it holds. Drifts = it goes stale unless somebody keeps asking, so it needs a standing engagement mechanism, not a field captured at start of care. Live/computed = recalculated, no decay problem. This is the contact = the row is the outbound work itself.</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87 variables from the 19 Aug inventory, plus 1 flagged gap.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 Engine</t>
        </is>
      </c>
      <c r="C32" s="5" t="inlineStr">
        <is>
          <t>Rows the workbook assigns to scheduling.</t>
        </is>
      </c>
      <c r="D32" s="12">
        <f>COUNTIF('Master List'!$B$2:$B$89,"Scheduling Engine")</f>
        <v/>
      </c>
    </row>
    <row r="33">
      <c r="B33" s="11" t="inlineStr">
        <is>
          <t>Patient Engagement</t>
        </is>
      </c>
      <c r="C33" s="5" t="inlineStr">
        <is>
          <t>Rows the workbook assigns to engagement.</t>
        </is>
      </c>
      <c r="D33" s="12">
        <f>COUNTIF('Master List'!$B$2:$B$89,"Patient 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Drifts — needs re-contact</t>
        </is>
      </c>
      <c r="C43" s="5" t="inlineStr">
        <is>
          <t>THE ENGAGEMENT LOAD. These go stale unless somebody keeps asking.</t>
        </is>
      </c>
      <c r="D43" s="12">
        <f>COUNTIF('Master List'!$O$2:$O$89,"Drifts*")</f>
        <v/>
      </c>
    </row>
    <row r="44">
      <c r="B44" s="11" t="inlineStr">
        <is>
          <t>...and sitting outside Engagement</t>
        </is>
      </c>
      <c r="C44" s="5" t="inlineStr">
        <is>
          <t>Capacity and scheduling rows that still need an engagement mechanism under them.</t>
        </is>
      </c>
      <c r="D44" s="12">
        <f>COUNTIFS('Master List'!$O$2:$O$89,"Drifts*",'Master List'!$B$2:$B$89,"&lt;&gt;Patient Engagement")</f>
        <v/>
      </c>
    </row>
    <row r="45">
      <c r="B45" s="11" t="inlineStr">
        <is>
          <t>...caught in the day-before round</t>
        </is>
      </c>
      <c r="C45" s="5" t="inlineStr">
        <is>
          <t>The single recurring contact point the process already has. Today it is manual, every patient, every day.</t>
        </is>
      </c>
      <c r="D45" s="12">
        <f>COUNTIF('Master List'!$P$2:$P$89,"Day before*")</f>
        <v/>
      </c>
    </row>
    <row r="46">
      <c r="B46" s="11" t="inlineStr">
        <is>
          <t>...caught in the weekly build</t>
        </is>
      </c>
      <c r="C46" s="5" t="inlineStr">
        <is>
          <t>The clinician's own weekly planning pass.</t>
        </is>
      </c>
      <c r="D46" s="12">
        <f>COUNTIF('Master List'!$P$2:$P$89,"Weekly*")</f>
        <v/>
      </c>
    </row>
    <row r="47">
      <c r="B47" s="11" t="inlineStr">
        <is>
          <t>...with no re-check at all</t>
        </is>
      </c>
      <c r="C47" s="5" t="inlineStr">
        <is>
          <t>Drifts, and nothing catches it. Silent staleness.</t>
        </is>
      </c>
      <c r="D47" s="12">
        <f>COUNTIFS('Master List'!$O$2:$O$89,"Drifts*",'Master List'!$P$2:$P$89,"Not re-checked today")</f>
        <v/>
      </c>
    </row>
    <row r="48">
      <c r="B48" s="11" t="inlineStr">
        <is>
          <t>High adoption sensitivity</t>
        </is>
      </c>
      <c r="C48" s="5" t="inlineStr">
        <is>
          <t>Rows where the change lands on clinicians. Design these with them.</t>
        </is>
      </c>
      <c r="D48" s="12">
        <f>COUNTIF('Master List'!$S$2:$S$89,"High")</f>
        <v/>
      </c>
    </row>
    <row r="49">
      <c r="B49" s="11" t="inlineStr">
        <is>
          <t>Day-one must-haves</t>
        </is>
      </c>
      <c r="C49" s="5" t="inlineStr">
        <is>
          <t>MVP = Yes.</t>
        </is>
      </c>
      <c r="D49" s="12">
        <f>COUNTIF('Master List'!$Q$2:$Q$89,"Yes")</f>
        <v/>
      </c>
    </row>
    <row r="50">
      <c r="B50" s="11" t="inlineStr">
        <is>
          <t>Knockout requirements</t>
        </is>
      </c>
      <c r="C50" s="5" t="inlineStr">
        <is>
          <t>Gating = Y. A product that cannot do these should not advance.</t>
        </is>
      </c>
      <c r="D50" s="12">
        <f>COUNTIF('Master List'!$R$2:$R$89,"Y")</f>
        <v/>
      </c>
    </row>
    <row r="52">
      <c r="B52" s="3" t="inlineStr">
        <is>
          <t>A worked row, so the expected format is obvious</t>
        </is>
      </c>
    </row>
    <row r="53">
      <c r="B53" s="4" t="inlineStr">
        <is>
          <t>ID</t>
        </is>
      </c>
      <c r="C53" s="13" t="inlineStr">
        <is>
          <t>C-03</t>
        </is>
      </c>
    </row>
    <row r="54">
      <c r="B54" s="4" t="inlineStr">
        <is>
          <t>Arena (8.19 workbook)</t>
        </is>
      </c>
      <c r="C54" s="13" t="inlineStr">
        <is>
          <t>Capacity Management</t>
        </is>
      </c>
    </row>
    <row r="55">
      <c r="B55" s="4" t="inlineStr">
        <is>
          <t>Also touches</t>
        </is>
      </c>
      <c r="C55" s="13" t="inlineStr">
        <is>
          <t>Scheduling</t>
        </is>
      </c>
    </row>
    <row r="56">
      <c r="B56" s="4" t="inlineStr">
        <is>
          <t>One-pager group</t>
        </is>
      </c>
      <c r="C56" s="13" t="inlineStr">
        <is>
          <t>Availability &amp; reach</t>
        </is>
      </c>
    </row>
    <row r="57">
      <c r="B57" s="4" t="inlineStr">
        <is>
          <t>Placement check</t>
        </is>
      </c>
      <c r="C57" s="13" t="inlineStr">
        <is>
          <t>Aligned</t>
        </is>
      </c>
    </row>
    <row r="58">
      <c r="B58" s="4" t="inlineStr">
        <is>
          <t>In plain terms</t>
        </is>
      </c>
      <c r="C58" s="13" t="inlineStr">
        <is>
          <t>Which zip codes each clinician covers. Territories were drawn on thin data and have stayed static, so capacity drifts away from demand quietly.</t>
        </is>
      </c>
    </row>
    <row r="59">
      <c r="B59" s="4" t="inlineStr">
        <is>
          <t>Who does the work today</t>
        </is>
      </c>
      <c r="C59" s="13" t="inlineStr">
        <is>
          <t>DCS and Scheduler — assign and adjust</t>
        </is>
      </c>
    </row>
    <row r="60">
      <c r="B60" s="4" t="inlineStr">
        <is>
          <t>Who reads it and decides today</t>
        </is>
      </c>
      <c r="C60" s="13" t="inlineStr">
        <is>
          <t>Branch Leadership (ED) with DCS — at the joint review when capacity tightens</t>
        </is>
      </c>
    </row>
    <row r="61">
      <c r="B61" s="4" t="inlineStr">
        <is>
          <t>Where it lives today</t>
        </is>
      </c>
      <c r="C61" s="13" t="inlineStr">
        <is>
          <t>HCHB holds the assignment where it has been entered; the working version is often the scheduler's own reference.</t>
        </is>
      </c>
    </row>
    <row r="62">
      <c r="B62" s="4" t="inlineStr">
        <is>
          <t>Confidence</t>
        </is>
      </c>
      <c r="C62" s="13" t="inlineStr">
        <is>
          <t>Medium</t>
        </is>
      </c>
    </row>
    <row r="63">
      <c r="B63" s="4" t="inlineStr">
        <is>
          <t>Future state</t>
        </is>
      </c>
      <c r="C63" s="13" t="inlineStr">
        <is>
          <t>Assist — the tool proposes territory changes against a live census heat-map</t>
        </is>
      </c>
    </row>
    <row r="64">
      <c r="B64" s="4" t="inlineStr">
        <is>
          <t>Future state -- who decides</t>
        </is>
      </c>
      <c r="C64" s="13" t="inlineStr">
        <is>
          <t>Branch Leadership (ED) with DCS</t>
        </is>
      </c>
    </row>
    <row r="65">
      <c r="B65" s="4" t="inlineStr">
        <is>
          <t>Trigger / how often</t>
        </is>
      </c>
      <c r="C65" s="13" t="inlineStr">
        <is>
          <t>Quarterly, or on demand shift</t>
        </is>
      </c>
    </row>
    <row r="66">
      <c r="B66" s="4" t="inlineStr">
        <is>
          <t>Adoption sensitivity</t>
        </is>
      </c>
      <c r="C66" s="13" t="inlineStr">
        <is>
          <t>High</t>
        </is>
      </c>
    </row>
    <row r="68">
      <c r="B68" s="3" t="inlineStr">
        <is>
          <t>Editing conventions</t>
        </is>
      </c>
    </row>
    <row r="69">
      <c r="B69" s="4" t="inlineStr">
        <is>
          <t>Everything is editable</t>
        </is>
      </c>
      <c r="C69" s="5" t="inlineStr">
        <is>
          <t>Nothing is locked. The drop-down columns accept typed values too, so a shared answer like 'DCS and Scheduler' is always allowed.</t>
        </is>
      </c>
    </row>
    <row r="70">
      <c r="B70" s="4" t="inlineStr">
        <is>
          <t>Say 'no one' when it is true</t>
        </is>
      </c>
      <c r="C70" s="5" t="inlineStr">
        <is>
          <t>If nobody reads a report today, write '— no one today'. Those rows are counted above and they are where the value is.</t>
        </is>
      </c>
    </row>
    <row r="71">
      <c r="B71" s="4" t="inlineStr">
        <is>
          <t>Keep IDs untouched</t>
        </is>
      </c>
      <c r="C71" s="5" t="inlineStr">
        <is>
          <t>The ID column is the join key back to the 8.13 workbook. Never renumber it.</t>
        </is>
      </c>
    </row>
    <row r="72">
      <c r="B72" s="4" t="inlineStr">
        <is>
          <t>This does not overwrite the workbook</t>
        </is>
      </c>
      <c r="C72" s="5" t="inlineStr">
        <is>
          <t>The 8.13 workbook stays authoritative for the variables themselves. This sheet adds the ownership and future-state layer on top.</t>
        </is>
      </c>
    </row>
    <row r="74">
      <c r="B74"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5"/>
    <row r="76"/>
  </sheetData>
  <mergeCells count="2">
    <mergeCell ref="B3:C4"/>
    <mergeCell ref="B74:C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8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17" customWidth="1" min="15" max="15"/>
    <col width="24" customWidth="1" min="16" max="16"/>
    <col width="7" customWidth="1" min="17" max="17"/>
    <col width="8" customWidth="1" min="18" max="18"/>
    <col width="13" customWidth="1" min="19" max="19"/>
    <col width="62" customWidth="1" min="20" max="20"/>
    <col width="44" customWidth="1" min="21" max="21"/>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Stays true on its own?</t>
        </is>
      </c>
      <c r="P1" s="15" t="inlineStr">
        <is>
          <t>Re-checked when</t>
        </is>
      </c>
      <c r="Q1" s="15" t="inlineStr">
        <is>
          <t>MVP</t>
        </is>
      </c>
      <c r="R1" s="15" t="inlineStr">
        <is>
          <t>Gating</t>
        </is>
      </c>
      <c r="S1" s="15" t="inlineStr">
        <is>
          <t>Adoption sensitivity</t>
        </is>
      </c>
      <c r="T1" s="15" t="inlineStr">
        <is>
          <t>Why this posture / watch-out</t>
        </is>
      </c>
      <c r="U1" s="15" t="inlineStr">
        <is>
          <t>Open question for the team</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1" t="inlineStr">
        <is>
          <t>Stable</t>
        </is>
      </c>
      <c r="P2" s="20" t="inlineStr">
        <is>
          <t>—</t>
        </is>
      </c>
      <c r="Q2" s="22" t="inlineStr">
        <is>
          <t>Yes</t>
        </is>
      </c>
      <c r="R2" s="22" t="inlineStr">
        <is>
          <t>Y</t>
        </is>
      </c>
      <c r="S2" s="21" t="inlineStr">
        <is>
          <t>Low</t>
        </is>
      </c>
      <c r="T2" s="18" t="inlineStr">
        <is>
          <t>A clean roster fact in a system of record. The only risk is Workday and HCHB disagreeing.</t>
        </is>
      </c>
      <c r="U2" s="18" t="inlineStr">
        <is>
          <t>Which system wins when Workday and HCHB disagree on who is active?</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1" t="inlineStr">
        <is>
          <t>Stable</t>
        </is>
      </c>
      <c r="P3" s="20" t="inlineStr">
        <is>
          <t>—</t>
        </is>
      </c>
      <c r="Q3" s="22" t="inlineStr">
        <is>
          <t>Yes</t>
        </is>
      </c>
      <c r="R3" s="22" t="inlineStr">
        <is>
          <t>Y</t>
        </is>
      </c>
      <c r="S3" s="21" t="inlineStr">
        <is>
          <t>Low</t>
        </is>
      </c>
      <c r="T3" s="18" t="inlineStr">
        <is>
          <t>Hard licensure fact, fully in the data.</t>
        </is>
      </c>
      <c r="U3" s="18" t="inlineStr">
        <is>
          <t>Are the discipline codes identical in Workday and HCHB, or do they need mapping?</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1" t="inlineStr">
        <is>
          <t>Live / computed</t>
        </is>
      </c>
      <c r="P4" s="20" t="inlineStr">
        <is>
          <t>—</t>
        </is>
      </c>
      <c r="Q4" s="22" t="inlineStr">
        <is>
          <t>Yes</t>
        </is>
      </c>
      <c r="R4" s="22" t="inlineStr">
        <is>
          <t>Y</t>
        </is>
      </c>
      <c r="S4" s="21" t="inlineStr">
        <is>
          <t>Medium</t>
        </is>
      </c>
      <c r="T4" s="18" t="inlineStr">
        <is>
          <t>Deterministic from discipline. The sensitivity is not the data, it is the change-management of moving work to assistants.</t>
        </is>
      </c>
      <c r="U4" s="18" t="inlineStr">
        <is>
          <t>Is the assessing/assistant split written down as policy anywhere, or only understood?</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1" t="inlineStr">
        <is>
          <t>Stable</t>
        </is>
      </c>
      <c r="P5" s="20" t="inlineStr">
        <is>
          <t>—</t>
        </is>
      </c>
      <c r="Q5" s="22" t="inlineStr">
        <is>
          <t>Yes</t>
        </is>
      </c>
      <c r="R5" s="22" t="inlineStr">
        <is>
          <t>Y</t>
        </is>
      </c>
      <c r="S5" s="21" t="inlineStr">
        <is>
          <t>Low</t>
        </is>
      </c>
      <c r="T5" s="18" t="inlineStr">
        <is>
          <t>Clean employment attribute. Flagged as a conflict risk: a vendor that models FTE differently will fight the branch.</t>
        </is>
      </c>
      <c r="U5" s="18" t="inlineStr">
        <is>
          <t>Do per-diem and contract clinicians carry an FTE value at all, or are they null?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1" t="inlineStr">
        <is>
          <t>Stable</t>
        </is>
      </c>
      <c r="P6" s="20" t="inlineStr">
        <is>
          <t>—</t>
        </is>
      </c>
      <c r="Q6" s="22" t="inlineStr">
        <is>
          <t>Yes</t>
        </is>
      </c>
      <c r="R6" s="22" t="inlineStr">
        <is>
          <t>Y</t>
        </is>
      </c>
      <c r="S6" s="21" t="inlineStr">
        <is>
          <t>Low</t>
        </is>
      </c>
      <c r="T6" s="18" t="inlineStr">
        <is>
          <t>A branch is only as capable as its thinnest discipline; this is the view that shows it.</t>
        </is>
      </c>
      <c r="U6" s="18" t="inlineStr">
        <is>
          <t>Who owns the branch roll-up today — is anyone producing this view at all?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1" t="inlineStr">
        <is>
          <t>Drifts — needs re-contact</t>
        </is>
      </c>
      <c r="P7" s="20" t="inlineStr">
        <is>
          <t>Weekly — when the week is built</t>
        </is>
      </c>
      <c r="Q7" s="22" t="inlineStr">
        <is>
          <t>Yes</t>
        </is>
      </c>
      <c r="R7" s="22" t="inlineStr">
        <is>
          <t>Y</t>
        </is>
      </c>
      <c r="S7" s="21" t="inlineStr">
        <is>
          <t>High</t>
        </is>
      </c>
      <c r="T7" s="18" t="inlineStr">
        <is>
          <t>The size of the buffer is legible; whether it actually flexes is relational. The system can show who is available, never assume they will say yes.</t>
        </is>
      </c>
      <c r="U7" s="18" t="inlineStr">
        <is>
          <t>Is there a maintained per-diem availability list anywhere, or is it rebuilt from memory each time?</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1" t="inlineStr">
        <is>
          <t>Drifts — needs re-contact</t>
        </is>
      </c>
      <c r="P8" s="20" t="inlineStr">
        <is>
          <t>Not re-checked today</t>
        </is>
      </c>
      <c r="Q8" s="22" t="inlineStr">
        <is>
          <t>Maybe</t>
        </is>
      </c>
      <c r="R8" s="22" t="inlineStr">
        <is>
          <t>N</t>
        </is>
      </c>
      <c r="S8" s="21" t="inlineStr">
        <is>
          <t>Medium</t>
        </is>
      </c>
      <c r="T8" s="18" t="inlineStr">
        <is>
          <t>Competency lives partly in reputation, not credentials. Surfacing it is useful; scoring it is not.</t>
        </is>
      </c>
      <c r="U8" s="18" t="inlineStr">
        <is>
          <t>Is there a competency list per clinician anywhere today, and who would own keeping it current?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1" t="inlineStr">
        <is>
          <t>Stable</t>
        </is>
      </c>
      <c r="P9" s="20" t="inlineStr">
        <is>
          <t>—</t>
        </is>
      </c>
      <c r="Q9" s="22" t="inlineStr">
        <is>
          <t>Maybe</t>
        </is>
      </c>
      <c r="R9" s="22" t="inlineStr">
        <is>
          <t>N</t>
        </is>
      </c>
      <c r="S9" s="21" t="inlineStr">
        <is>
          <t>Low</t>
        </is>
      </c>
      <c r="T9" s="18" t="inlineStr">
        <is>
          <t>Headcount is clear; the true ramp curve is judgment. A system can propose a curve, a manager corrects it.</t>
        </is>
      </c>
      <c r="U9" s="18" t="inlineStr">
        <is>
          <t>Is there a standard ramp expectation by discipline, or is it manager-by-manager?</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1" t="inlineStr">
        <is>
          <t>Stable</t>
        </is>
      </c>
      <c r="P10" s="20" t="inlineStr">
        <is>
          <t>—</t>
        </is>
      </c>
      <c r="Q10" s="22" t="inlineStr">
        <is>
          <t>Yes</t>
        </is>
      </c>
      <c r="R10" s="22" t="inlineStr">
        <is>
          <t>Y</t>
        </is>
      </c>
      <c r="S10" s="21" t="inlineStr">
        <is>
          <t>Medium</t>
        </is>
      </c>
      <c r="T10" s="18" t="inlineStr">
        <is>
          <t>Legible load once the rotation is recorded. The fairness question is human.</t>
        </is>
      </c>
      <c r="U10" s="18" t="inlineStr">
        <is>
          <t>Is the rotation kept in HCHB, or on a separate branch calendar?</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1" t="inlineStr">
        <is>
          <t>Drifts — needs re-contact</t>
        </is>
      </c>
      <c r="P11" s="20" t="inlineStr">
        <is>
          <t>On event — coverage and surge</t>
        </is>
      </c>
      <c r="Q11" s="22" t="inlineStr">
        <is>
          <t>Maybe</t>
        </is>
      </c>
      <c r="R11" s="22" t="inlineStr">
        <is>
          <t>N</t>
        </is>
      </c>
      <c r="S11" s="21" t="inlineStr">
        <is>
          <t>High</t>
        </is>
      </c>
      <c r="T11" s="18" t="inlineStr">
        <is>
          <t>A purely relational variable: the act of automating it changes what it measures. Surface who has said yes before; never auto-assign on it.</t>
        </is>
      </c>
      <c r="U11" s="18" t="inlineStr">
        <is>
          <t>Would clinicians accept this being visible at all? This is a trust question before it is a data question.</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1" t="inlineStr">
        <is>
          <t>Drifts — needs re-contact</t>
        </is>
      </c>
      <c r="P12" s="20" t="inlineStr">
        <is>
          <t>On event — coverage and surge</t>
        </is>
      </c>
      <c r="Q12" s="22" t="inlineStr">
        <is>
          <t>Maybe</t>
        </is>
      </c>
      <c r="R12" s="22" t="inlineStr">
        <is>
          <t>N</t>
        </is>
      </c>
      <c r="S12" s="21" t="inlineStr">
        <is>
          <t>High</t>
        </is>
      </c>
      <c r="T12" s="18" t="inlineStr">
        <is>
          <t>Relational and pay-linked. This is the row that connects to the incentives idea in the one-pager: today there is no mechanism, only a phone call.</t>
        </is>
      </c>
      <c r="U12" s="18" t="inlineStr">
        <is>
          <t>If we attach an incentive to hard-to-fill visits, who sets it and who approves the spend?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1" t="inlineStr">
        <is>
          <t>Stable</t>
        </is>
      </c>
      <c r="P13" s="20" t="inlineStr">
        <is>
          <t>—</t>
        </is>
      </c>
      <c r="Q13" s="22" t="inlineStr">
        <is>
          <t>Yes</t>
        </is>
      </c>
      <c r="R13" s="22" t="inlineStr">
        <is>
          <t>Y</t>
        </is>
      </c>
      <c r="S13" s="21" t="inlineStr">
        <is>
          <t>Low</t>
        </is>
      </c>
      <c r="T13" s="18" t="inlineStr">
        <is>
          <t>A firm blackout once it is in the field. The integration being off is the single highest-value plumbing fix on this sheet — it makes every capacity number stale.</t>
        </is>
      </c>
      <c r="U13" s="18" t="inlineStr">
        <is>
          <t>What would it take to turn the Workday-to-HCHB availability integration back on?</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1" t="inlineStr">
        <is>
          <t>Stable</t>
        </is>
      </c>
      <c r="P14" s="20" t="inlineStr">
        <is>
          <t>—</t>
        </is>
      </c>
      <c r="Q14" s="22" t="inlineStr">
        <is>
          <t>Yes</t>
        </is>
      </c>
      <c r="R14" s="22" t="inlineStr">
        <is>
          <t>Y</t>
        </is>
      </c>
      <c r="S14" s="21" t="inlineStr">
        <is>
          <t>Medium</t>
        </is>
      </c>
      <c r="T14" s="18" t="inlineStr">
        <is>
          <t>Territory lines look fixed but encode local knowledge and standing agreements. A tool should propose changes, never redraw them.</t>
        </is>
      </c>
      <c r="U14" s="18" t="inlineStr">
        <is>
          <t>Is the current zip-to-clinician assignment complete in HCHB, or does the scheduler hold part of it?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1" t="inlineStr">
        <is>
          <t>Stable</t>
        </is>
      </c>
      <c r="P15" s="20" t="inlineStr">
        <is>
          <t>—</t>
        </is>
      </c>
      <c r="Q15" s="22" t="inlineStr">
        <is>
          <t>Yes</t>
        </is>
      </c>
      <c r="R15" s="22" t="inlineStr">
        <is>
          <t>Y</t>
        </is>
      </c>
      <c r="S15" s="21" t="inlineStr">
        <is>
          <t>Low</t>
        </is>
      </c>
      <c r="T15" s="18" t="inlineStr">
        <is>
          <t>Fixed boundary, cleanly held in configuration.</t>
        </is>
      </c>
      <c r="U15" s="18" t="inlineStr">
        <is>
          <t>Does the recorded coverage area match what the branch actually accepts in practice?</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1" t="inlineStr">
        <is>
          <t>Stable</t>
        </is>
      </c>
      <c r="P16" s="20" t="inlineStr">
        <is>
          <t>—</t>
        </is>
      </c>
      <c r="Q16" s="22" t="inlineStr">
        <is>
          <t>Yes</t>
        </is>
      </c>
      <c r="R16" s="22" t="inlineStr">
        <is>
          <t>Y</t>
        </is>
      </c>
      <c r="S16" s="21" t="inlineStr">
        <is>
          <t>High</t>
        </is>
      </c>
      <c r="T16" s="18" t="inlineStr">
        <is>
          <t>Called out in the inventory as the initial variable in the whole equation. Pairing it with a live census heat-map is the highest-leverage capacity change identified.</t>
        </is>
      </c>
      <c r="U16" s="18" t="inlineStr">
        <is>
          <t>How current is the zip assignment in HCHB right now — and when was it last reviewed against referral patterns?</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1" t="inlineStr">
        <is>
          <t>Stable</t>
        </is>
      </c>
      <c r="P17" s="20" t="inlineStr">
        <is>
          <t>—</t>
        </is>
      </c>
      <c r="Q17" s="22" t="inlineStr">
        <is>
          <t>Yes</t>
        </is>
      </c>
      <c r="R17" s="22" t="inlineStr">
        <is>
          <t>Y</t>
        </is>
      </c>
      <c r="S17" s="21" t="inlineStr">
        <is>
          <t>Low</t>
        </is>
      </c>
      <c r="T17" s="18" t="inlineStr">
        <is>
          <t>A modelling choice, not a live control. It reshapes both the capacity map and the routing at once, so it should be decided on purpose rather than inherited from a vendor default.</t>
        </is>
      </c>
      <c r="U17" s="18" t="inlineStr">
        <is>
          <t>Do we want to make this call before vendor selection, or let the shortlist show us what is practical?</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1" t="inlineStr">
        <is>
          <t>Live / computed</t>
        </is>
      </c>
      <c r="P18" s="20" t="inlineStr">
        <is>
          <t>—</t>
        </is>
      </c>
      <c r="Q18" s="22" t="inlineStr">
        <is>
          <t>Yes</t>
        </is>
      </c>
      <c r="R18" s="22" t="inlineStr">
        <is>
          <t>Y</t>
        </is>
      </c>
      <c r="S18" s="21" t="inlineStr">
        <is>
          <t>Medium</t>
        </is>
      </c>
      <c r="T18" s="18" t="inlineStr">
        <is>
          <t>Added 19 Aug. The workbook's own example is the whole argument: one territory carrying about thirty patients across two full-time clinicians while the adjacent area declines starts. The tool proposes the misalignment; a person moves the boundary.</t>
        </is>
      </c>
      <c r="U18" s="18" t="inlineStr">
        <is>
          <t>What cadence do we want for territory review, and who convenes it?</t>
        </is>
      </c>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1" t="inlineStr">
        <is>
          <t>Drifts — needs re-contact</t>
        </is>
      </c>
      <c r="P19" s="20" t="inlineStr">
        <is>
          <t>Weekly — when the week is built</t>
        </is>
      </c>
      <c r="Q19" s="22" t="inlineStr">
        <is>
          <t>Maybe</t>
        </is>
      </c>
      <c r="R19" s="22" t="inlineStr">
        <is>
          <t>N</t>
        </is>
      </c>
      <c r="S19" s="21" t="inlineStr">
        <is>
          <t>High</t>
        </is>
      </c>
      <c r="T19" s="18" t="inlineStr">
        <is>
          <t>Added 19 Aug, and deliberately read-only. Inferring the preference from observed start times would record defeat as choice and then optimise to preserve it. Ask, record the answer, report the gap.</t>
        </is>
      </c>
      <c r="U19" s="18" t="inlineStr">
        <is>
          <t>Who asks, and how often? This only works if the answer is collected rather than derived.</t>
        </is>
      </c>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1" t="inlineStr">
        <is>
          <t>Live / computed</t>
        </is>
      </c>
      <c r="P20" s="20" t="inlineStr">
        <is>
          <t>—</t>
        </is>
      </c>
      <c r="Q20" s="22" t="inlineStr">
        <is>
          <t>Yes</t>
        </is>
      </c>
      <c r="R20" s="22" t="inlineStr">
        <is>
          <t>N</t>
        </is>
      </c>
      <c r="S20" s="21" t="inlineStr">
        <is>
          <t>Low</t>
        </is>
      </c>
      <c r="T20" s="18" t="inlineStr">
        <is>
          <t>Derived and safe to compute. The catch is pending-auth visits, which are on no calendar and count toward nothing — so this number is already understated today.</t>
        </is>
      </c>
      <c r="U20" s="18" t="inlineStr">
        <is>
          <t>Confirm which HCHB view the branch actually uses for committed points, and whether pending-auth visits appear anywhere in it.</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1" t="inlineStr">
        <is>
          <t>Live / computed</t>
        </is>
      </c>
      <c r="P21" s="20" t="inlineStr">
        <is>
          <t>—</t>
        </is>
      </c>
      <c r="Q21" s="22" t="inlineStr">
        <is>
          <t>Yes</t>
        </is>
      </c>
      <c r="R21" s="22" t="inlineStr">
        <is>
          <t>Y</t>
        </is>
      </c>
      <c r="S21" s="21" t="inlineStr">
        <is>
          <t>Low</t>
        </is>
      </c>
      <c r="T21" s="18" t="inlineStr">
        <is>
          <t>Pure derivation, but only as good as the point definitions underneath it. This is one of the clearest 'nobody can see this today' rows.</t>
        </is>
      </c>
      <c r="U21" s="18" t="inlineStr">
        <is>
          <t>Does any current HCHB view show open points by day, or is this genuinely net-new?</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1" t="inlineStr">
        <is>
          <t>Live / computed</t>
        </is>
      </c>
      <c r="P22" s="20" t="inlineStr">
        <is>
          <t>—</t>
        </is>
      </c>
      <c r="Q22" s="22" t="inlineStr">
        <is>
          <t>Yes</t>
        </is>
      </c>
      <c r="R22" s="22" t="inlineStr">
        <is>
          <t>N</t>
        </is>
      </c>
      <c r="S22" s="21" t="inlineStr">
        <is>
          <t>Low</t>
        </is>
      </c>
      <c r="T22" s="18" t="inlineStr">
        <is>
          <t>The headline capacity number. Everything else on this sheet exists to make it trustworthy.</t>
        </is>
      </c>
      <c r="U22" s="18" t="inlineStr">
        <is>
          <t>What is the decision this number should drive, and who makes it — ED, DCS, or intake?</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1" t="inlineStr">
        <is>
          <t>Live / computed</t>
        </is>
      </c>
      <c r="P23" s="20" t="inlineStr">
        <is>
          <t>—</t>
        </is>
      </c>
      <c r="Q23" s="22" t="inlineStr">
        <is>
          <t>Yes</t>
        </is>
      </c>
      <c r="R23" s="22" t="inlineStr">
        <is>
          <t>Y</t>
        </is>
      </c>
      <c r="S23" s="21" t="inlineStr">
        <is>
          <t>Low</t>
        </is>
      </c>
      <c r="T23" s="18" t="inlineStr">
        <is>
          <t>The growth-gating number. Distinct from total open room and more binding.</t>
        </is>
      </c>
      <c r="U23" s="18" t="inlineStr">
        <is>
          <t>How does the branch decide today whether it can take another admission — what is the current proxy?</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1" t="inlineStr">
        <is>
          <t>Stable</t>
        </is>
      </c>
      <c r="P24" s="20" t="inlineStr">
        <is>
          <t>—</t>
        </is>
      </c>
      <c r="Q24" s="22" t="inlineStr">
        <is>
          <t>Yes</t>
        </is>
      </c>
      <c r="R24" s="22" t="inlineStr">
        <is>
          <t>N</t>
        </is>
      </c>
      <c r="S24" s="21" t="inlineStr">
        <is>
          <t>Medium</t>
        </is>
      </c>
      <c r="T24" s="18" t="inlineStr">
        <is>
          <t>The values exist. What is undefined is how travel, documentation time and acuity are treated — and until that is settled, every derived capacity number inherits the ambiguity.</t>
        </is>
      </c>
      <c r="U24" s="18" t="inlineStr">
        <is>
          <t>Open question #1: do points account for travel, documentation and acuity, or only visit type?</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1" t="inlineStr">
        <is>
          <t>Stable</t>
        </is>
      </c>
      <c r="P25" s="20" t="inlineStr">
        <is>
          <t>—</t>
        </is>
      </c>
      <c r="Q25" s="22" t="inlineStr">
        <is>
          <t>Yes</t>
        </is>
      </c>
      <c r="R25" s="22" t="inlineStr">
        <is>
          <t>N</t>
        </is>
      </c>
      <c r="S25" s="21" t="inlineStr">
        <is>
          <t>Medium</t>
        </is>
      </c>
      <c r="T25" s="18" t="inlineStr">
        <is>
          <t>A policy constant and a simple lookup. Conflict risk: a vendor with its own opinion about targets will fight branch policy.</t>
        </is>
      </c>
      <c r="U25" s="18" t="inlineStr">
        <is>
          <t>Are targets uniform across branches and disciplines, or do they vary?</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1" t="inlineStr">
        <is>
          <t>Stable</t>
        </is>
      </c>
      <c r="P26" s="20" t="inlineStr">
        <is>
          <t>—</t>
        </is>
      </c>
      <c r="Q26" s="22" t="inlineStr">
        <is>
          <t>Yes</t>
        </is>
      </c>
      <c r="R26" s="22" t="inlineStr">
        <is>
          <t>N</t>
        </is>
      </c>
      <c r="S26" s="21" t="inlineStr">
        <is>
          <t>Low</t>
        </is>
      </c>
      <c r="T26" s="18" t="inlineStr">
        <is>
          <t>Detecting the events is straightforward. What to do about the trend is the judgment, and it sits with the branch.</t>
        </is>
      </c>
      <c r="U26" s="18" t="inlineStr">
        <is>
          <t>Is discharge date reliable enough in HCHB to forecast returning capacity?</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1" t="inlineStr">
        <is>
          <t>Stable</t>
        </is>
      </c>
      <c r="P27" s="20" t="inlineStr">
        <is>
          <t>—</t>
        </is>
      </c>
      <c r="Q27" s="22" t="inlineStr">
        <is>
          <t>No</t>
        </is>
      </c>
      <c r="R27" s="22" t="inlineStr">
        <is>
          <t>N</t>
        </is>
      </c>
      <c r="S27" s="21" t="inlineStr">
        <is>
          <t>Low</t>
        </is>
      </c>
      <c r="T27" s="18" t="inlineStr">
        <is>
          <t>Out of scope by choice, documented so the capacity math is transparent about what it holds constant.</t>
        </is>
      </c>
      <c r="U27" s="18" t="inlineStr">
        <is>
          <t>Confirm this stays out of scope as the initiative moves into future-state design.</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 Engine</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1" t="inlineStr">
        <is>
          <t>Drifts — needs re-contact</t>
        </is>
      </c>
      <c r="P28" s="20" t="inlineStr">
        <is>
          <t>Weekly — when the week is built</t>
        </is>
      </c>
      <c r="Q28" s="22" t="inlineStr">
        <is>
          <t>Maybe</t>
        </is>
      </c>
      <c r="R28" s="22" t="inlineStr">
        <is>
          <t>N</t>
        </is>
      </c>
      <c r="S28" s="21" t="inlineStr">
        <is>
          <t>Medium</t>
        </is>
      </c>
      <c r="T28" s="18" t="inlineStr">
        <is>
          <t>A set pattern with informal exceptions — the exceptions are the part no system holds.</t>
        </is>
      </c>
      <c r="U28" s="18" t="inlineStr">
        <is>
          <t>Are working patterns recorded in HCHB per clinician, or reconstructed by the scheduler each week?</t>
        </is>
      </c>
    </row>
    <row r="29" ht="76" customHeight="1">
      <c r="A29" s="16" t="inlineStr">
        <is>
          <t>S-05</t>
        </is>
      </c>
      <c r="B29" s="17" t="inlineStr">
        <is>
          <t>Capacity Management</t>
        </is>
      </c>
      <c r="C29" s="18" t="inlineStr"/>
      <c r="D29" s="19" t="inlineStr">
        <is>
          <t>Matching</t>
        </is>
      </c>
      <c r="E29" s="23" t="inlineStr">
        <is>
          <t>Differs — the one-pager groups this under Scheduling Engine</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1" t="inlineStr">
        <is>
          <t>Drifts — needs re-contact</t>
        </is>
      </c>
      <c r="P29" s="20" t="inlineStr">
        <is>
          <t>Weekly — when the week is built</t>
        </is>
      </c>
      <c r="Q29" s="22" t="inlineStr">
        <is>
          <t>Maybe</t>
        </is>
      </c>
      <c r="R29" s="22" t="inlineStr">
        <is>
          <t>N</t>
        </is>
      </c>
      <c r="S29" s="21" t="inlineStr">
        <is>
          <t>High</t>
        </is>
      </c>
      <c r="T29" s="18" t="inlineStr">
        <is>
          <t>Preferred and possible are two different things. Many clinicians want an early first visit and struggle to make it happen; it takes planning and patient motivation, not just a preference field.</t>
        </is>
      </c>
      <c r="U29" s="18" t="inlineStr">
        <is>
          <t>Do we want to set a branch expectation on first-visit time, or keep it individual?</t>
        </is>
      </c>
    </row>
    <row r="30" ht="76" customHeight="1">
      <c r="A30" s="16" t="inlineStr">
        <is>
          <t>S-06</t>
        </is>
      </c>
      <c r="B30" s="17" t="inlineStr">
        <is>
          <t>Capacity Management</t>
        </is>
      </c>
      <c r="C30" s="18" t="inlineStr"/>
      <c r="D30" s="19" t="inlineStr">
        <is>
          <t>Matching</t>
        </is>
      </c>
      <c r="E30" s="23" t="inlineStr">
        <is>
          <t>Differs — the one-pager groups this under Scheduling Engine</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1" t="inlineStr">
        <is>
          <t>Drifts — needs re-contact</t>
        </is>
      </c>
      <c r="P30" s="20" t="inlineStr">
        <is>
          <t>Day before — the confirmation round</t>
        </is>
      </c>
      <c r="Q30" s="22" t="inlineStr">
        <is>
          <t>Maybe</t>
        </is>
      </c>
      <c r="R30" s="22" t="inlineStr">
        <is>
          <t>N</t>
        </is>
      </c>
      <c r="S30" s="21" t="inlineStr">
        <is>
          <t>High</t>
        </is>
      </c>
      <c r="T30" s="18" t="inlineStr">
        <is>
          <t>Depends on a person's willingness. Assuming it is available damages the trust the whole thing runs on — surface only.</t>
        </is>
      </c>
      <c r="U30" s="18" t="inlineStr">
        <is>
          <t>None — this row is intentionally read-only.</t>
        </is>
      </c>
    </row>
    <row r="31" ht="76" customHeight="1">
      <c r="A31" s="16" t="inlineStr">
        <is>
          <t>S-07</t>
        </is>
      </c>
      <c r="B31" s="17" t="inlineStr">
        <is>
          <t>Capacity Management</t>
        </is>
      </c>
      <c r="C31" s="18" t="inlineStr"/>
      <c r="D31" s="19" t="inlineStr">
        <is>
          <t>Matching</t>
        </is>
      </c>
      <c r="E31" s="23" t="inlineStr">
        <is>
          <t>Differs — the one-pager groups this under Scheduling Engine</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1" t="inlineStr">
        <is>
          <t>Drifts — needs re-contact</t>
        </is>
      </c>
      <c r="P31" s="20" t="inlineStr">
        <is>
          <t>Weekly — when the week is built</t>
        </is>
      </c>
      <c r="Q31" s="22" t="inlineStr">
        <is>
          <t>Maybe</t>
        </is>
      </c>
      <c r="R31" s="22" t="inlineStr">
        <is>
          <t>N</t>
        </is>
      </c>
      <c r="S31" s="21" t="inlineStr">
        <is>
          <t>Medium</t>
        </is>
      </c>
      <c r="T31" s="18" t="inlineStr">
        <is>
          <t>A capturable personal habit. Worth knowing, not worth enforcing.</t>
        </is>
      </c>
      <c r="U31" s="18" t="inlineStr">
        <is>
          <t>Would clinicians be willing to record this, or does it feel like surveillance?</t>
        </is>
      </c>
    </row>
    <row r="32" ht="76" customHeight="1">
      <c r="A32" s="16" t="inlineStr">
        <is>
          <t>S-08</t>
        </is>
      </c>
      <c r="B32" s="17" t="inlineStr">
        <is>
          <t>Capacity Management</t>
        </is>
      </c>
      <c r="C32" s="18" t="inlineStr"/>
      <c r="D32" s="19" t="inlineStr">
        <is>
          <t>Matching</t>
        </is>
      </c>
      <c r="E32" s="23" t="inlineStr">
        <is>
          <t>Differs — the one-pager groups this under Scheduling Engine</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1" t="inlineStr">
        <is>
          <t>Drifts — needs re-contact</t>
        </is>
      </c>
      <c r="P32" s="20" t="inlineStr">
        <is>
          <t>Weekly — when the week is built</t>
        </is>
      </c>
      <c r="Q32" s="22" t="inlineStr">
        <is>
          <t>Maybe</t>
        </is>
      </c>
      <c r="R32" s="22" t="inlineStr">
        <is>
          <t>N</t>
        </is>
      </c>
      <c r="S32" s="21" t="inlineStr">
        <is>
          <t>Medium</t>
        </is>
      </c>
      <c r="T32" s="18" t="inlineStr">
        <is>
          <t>Same shape as the lunch pattern. Note that documentation time is real capacity consumed, and today it is invisible in the point math.</t>
        </is>
      </c>
      <c r="U32" s="18" t="inlineStr">
        <is>
          <t>Should documentation time be represented in the point system? Ties to open question #1.</t>
        </is>
      </c>
    </row>
    <row r="33" ht="76" customHeight="1">
      <c r="A33" s="16" t="inlineStr">
        <is>
          <t>S-09</t>
        </is>
      </c>
      <c r="B33" s="17" t="inlineStr">
        <is>
          <t>Capacity Management</t>
        </is>
      </c>
      <c r="C33" s="18" t="inlineStr"/>
      <c r="D33" s="19" t="inlineStr">
        <is>
          <t>Matching</t>
        </is>
      </c>
      <c r="E33" s="23" t="inlineStr">
        <is>
          <t>Differs — the one-pager groups this under Scheduling Engine</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1" t="inlineStr">
        <is>
          <t>Drifts — needs re-contact</t>
        </is>
      </c>
      <c r="P33" s="20" t="inlineStr">
        <is>
          <t>Day before — the confirmation round</t>
        </is>
      </c>
      <c r="Q33" s="22" t="inlineStr">
        <is>
          <t>Maybe</t>
        </is>
      </c>
      <c r="R33" s="22" t="inlineStr">
        <is>
          <t>N</t>
        </is>
      </c>
      <c r="S33" s="21" t="inlineStr">
        <is>
          <t>High</t>
        </is>
      </c>
      <c r="T33" s="18" t="inlineStr">
        <is>
          <t>A personal daily rhythm that varies. Hard to predict reliably and easily disrupted by a system that assumes it knows — read only.</t>
        </is>
      </c>
      <c r="U33" s="18" t="inlineStr">
        <is>
          <t>None — intentionally read-only.</t>
        </is>
      </c>
    </row>
    <row r="34" ht="76" customHeight="1">
      <c r="A34" s="16" t="inlineStr">
        <is>
          <t>S-10</t>
        </is>
      </c>
      <c r="B34" s="17" t="inlineStr">
        <is>
          <t>Capacity Management</t>
        </is>
      </c>
      <c r="C34" s="18" t="inlineStr"/>
      <c r="D34" s="19" t="inlineStr">
        <is>
          <t>Matching</t>
        </is>
      </c>
      <c r="E34" s="23" t="inlineStr">
        <is>
          <t>Differs — the one-pager groups this under Scheduling Engine</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1" t="inlineStr">
        <is>
          <t>Drifts — needs re-contact</t>
        </is>
      </c>
      <c r="P34" s="20" t="inlineStr">
        <is>
          <t>Weekly — when the week is built</t>
        </is>
      </c>
      <c r="Q34" s="22" t="inlineStr">
        <is>
          <t>Yes</t>
        </is>
      </c>
      <c r="R34" s="22" t="inlineStr">
        <is>
          <t>N</t>
        </is>
      </c>
      <c r="S34" s="21" t="inlineStr">
        <is>
          <t>Medium</t>
        </is>
      </c>
      <c r="T34" s="18" t="inlineStr">
        <is>
          <t>A firm edge once known. The knowing is the tacit part.</t>
        </is>
      </c>
      <c r="U34" s="18" t="inlineStr">
        <is>
          <t>Is there a place a clinician could record a standing hard stop today?</t>
        </is>
      </c>
    </row>
    <row r="35" ht="76" customHeight="1">
      <c r="A35" s="16" t="inlineStr">
        <is>
          <t>S-11</t>
        </is>
      </c>
      <c r="B35" s="17" t="inlineStr">
        <is>
          <t>Capacity Management</t>
        </is>
      </c>
      <c r="C35" s="18" t="inlineStr"/>
      <c r="D35" s="19" t="inlineStr">
        <is>
          <t>Matching</t>
        </is>
      </c>
      <c r="E35" s="23" t="inlineStr">
        <is>
          <t>Differs — the one-pager groups this under Scheduling Engine</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1" t="inlineStr">
        <is>
          <t>Drifts — needs re-contact</t>
        </is>
      </c>
      <c r="P35" s="20" t="inlineStr">
        <is>
          <t>Weekly — when the week is built</t>
        </is>
      </c>
      <c r="Q35" s="22" t="inlineStr">
        <is>
          <t>Maybe</t>
        </is>
      </c>
      <c r="R35" s="22" t="inlineStr">
        <is>
          <t>N</t>
        </is>
      </c>
      <c r="S35" s="21" t="inlineStr">
        <is>
          <t>Medium</t>
        </is>
      </c>
      <c r="T35" s="18" t="inlineStr">
        <is>
          <t>A personal ceiling, capturable and worth confirming. Conflict risk: a vendor that packs to points alone will breach it.</t>
        </is>
      </c>
      <c r="U35" s="18" t="inlineStr">
        <is>
          <t>Do we want a branch-level maximum as well as an individual one?</t>
        </is>
      </c>
    </row>
    <row r="36" ht="76" customHeight="1">
      <c r="A36" s="16" t="inlineStr">
        <is>
          <t>S-14</t>
        </is>
      </c>
      <c r="B36" s="24" t="inlineStr">
        <is>
          <t>Scheduling Engine</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1" t="inlineStr">
        <is>
          <t>Stable</t>
        </is>
      </c>
      <c r="P36" s="20" t="inlineStr">
        <is>
          <t>—</t>
        </is>
      </c>
      <c r="Q36" s="22" t="inlineStr">
        <is>
          <t>Yes</t>
        </is>
      </c>
      <c r="R36" s="22" t="inlineStr">
        <is>
          <t>Y</t>
        </is>
      </c>
      <c r="S36" s="21" t="inlineStr">
        <is>
          <t>Medium</t>
        </is>
      </c>
      <c r="T36" s="18" t="inlineStr">
        <is>
          <t>A legible anchor once captured. Using home addresses for routing has a privacy dimension worth settling early.</t>
        </is>
      </c>
      <c r="U36" s="18" t="inlineStr">
        <is>
          <t>Can we use clinician home addresses for drive-time calculation, and has that been agreed with them?</t>
        </is>
      </c>
    </row>
    <row r="37" ht="76" customHeight="1">
      <c r="A37" s="16" t="inlineStr">
        <is>
          <t>S-01</t>
        </is>
      </c>
      <c r="B37" s="24" t="inlineStr">
        <is>
          <t>Scheduling Engine</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1" t="inlineStr">
        <is>
          <t>Stable</t>
        </is>
      </c>
      <c r="P37" s="20" t="inlineStr">
        <is>
          <t>—</t>
        </is>
      </c>
      <c r="Q37" s="22" t="inlineStr">
        <is>
          <t>Yes</t>
        </is>
      </c>
      <c r="R37" s="22" t="inlineStr">
        <is>
          <t>Y</t>
        </is>
      </c>
      <c r="S37" s="21" t="inlineStr">
        <is>
          <t>Low</t>
        </is>
      </c>
      <c r="T37" s="18" t="inlineStr">
        <is>
          <t>Clear in HCHB. Note that each discipline plots to clinical need without seeing payer limits at that moment — which is where the auth collision starts.</t>
        </is>
      </c>
      <c r="U37" s="18" t="inlineStr">
        <is>
          <t>Nothing outstanding — this row is solid.</t>
        </is>
      </c>
    </row>
    <row r="38" ht="76" customHeight="1">
      <c r="A38" s="16" t="inlineStr">
        <is>
          <t>S-02</t>
        </is>
      </c>
      <c r="B38" s="24" t="inlineStr">
        <is>
          <t>Scheduling Engine</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1" t="inlineStr">
        <is>
          <t>Stable</t>
        </is>
      </c>
      <c r="P38" s="20" t="inlineStr">
        <is>
          <t>—</t>
        </is>
      </c>
      <c r="Q38" s="22" t="inlineStr">
        <is>
          <t>Yes</t>
        </is>
      </c>
      <c r="R38" s="22" t="inlineStr">
        <is>
          <t>Y</t>
        </is>
      </c>
      <c r="S38" s="21" t="inlineStr">
        <is>
          <t>Low</t>
        </is>
      </c>
      <c r="T38" s="18" t="inlineStr">
        <is>
          <t>Clean order attribute.</t>
        </is>
      </c>
      <c r="U38" s="18" t="inlineStr">
        <is>
          <t>Nothing outstanding.</t>
        </is>
      </c>
    </row>
    <row r="39" ht="76" customHeight="1">
      <c r="A39" s="16" t="inlineStr">
        <is>
          <t>S-43</t>
        </is>
      </c>
      <c r="B39" s="24" t="inlineStr">
        <is>
          <t>Scheduling Engine</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1" t="inlineStr">
        <is>
          <t>Stable</t>
        </is>
      </c>
      <c r="P39" s="20" t="inlineStr">
        <is>
          <t>—</t>
        </is>
      </c>
      <c r="Q39" s="22" t="inlineStr">
        <is>
          <t>Yes</t>
        </is>
      </c>
      <c r="R39" s="22" t="inlineStr">
        <is>
          <t>Y</t>
        </is>
      </c>
      <c r="S39" s="21" t="inlineStr">
        <is>
          <t>Medium</t>
        </is>
      </c>
      <c r="T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U39" s="18" t="inlineStr">
        <is>
          <t>Can the auth coordination note be surfaced into the plan-of-care screen, and who owns that change?</t>
        </is>
      </c>
    </row>
    <row r="40" ht="76" customHeight="1">
      <c r="A40" s="16" t="inlineStr">
        <is>
          <t>S-44</t>
        </is>
      </c>
      <c r="B40" s="24" t="inlineStr">
        <is>
          <t>Scheduling Engine</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1" t="inlineStr">
        <is>
          <t>Stable</t>
        </is>
      </c>
      <c r="P40" s="20" t="inlineStr">
        <is>
          <t>—</t>
        </is>
      </c>
      <c r="Q40" s="22" t="inlineStr">
        <is>
          <t>Yes</t>
        </is>
      </c>
      <c r="R40" s="22" t="inlineStr">
        <is>
          <t>Y</t>
        </is>
      </c>
      <c r="S40" s="21" t="inlineStr">
        <is>
          <t>Medium</t>
        </is>
      </c>
      <c r="T40" s="18" t="inlineStr">
        <is>
          <t>Flagged in the inventory as a bottleneck awaiting DCS workflow. It affects how capacity looks as well as what gets scheduled.</t>
        </is>
      </c>
      <c r="U40" s="18" t="inlineStr">
        <is>
          <t>What is the current DCS add-on workflow, and is it consistent across branches?</t>
        </is>
      </c>
    </row>
    <row r="41" ht="76" customHeight="1">
      <c r="A41" s="16" t="inlineStr">
        <is>
          <t>S-03</t>
        </is>
      </c>
      <c r="B41" s="24" t="inlineStr">
        <is>
          <t>Scheduling Engine</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1" t="inlineStr">
        <is>
          <t>Live / computed</t>
        </is>
      </c>
      <c r="P41" s="20" t="inlineStr">
        <is>
          <t>—</t>
        </is>
      </c>
      <c r="Q41" s="22" t="inlineStr">
        <is>
          <t>Yes</t>
        </is>
      </c>
      <c r="R41" s="22" t="inlineStr">
        <is>
          <t>Y</t>
        </is>
      </c>
      <c r="S41" s="21" t="inlineStr">
        <is>
          <t>Low</t>
        </is>
      </c>
      <c r="T41" s="18" t="inlineStr">
        <is>
          <t>A hard, legible clock — among the safest things to enforce automatically.</t>
        </is>
      </c>
      <c r="U41" s="18" t="inlineStr">
        <is>
          <t>Nothing outstanding.</t>
        </is>
      </c>
    </row>
    <row r="42" ht="76" customHeight="1">
      <c r="A42" s="16" t="inlineStr">
        <is>
          <t>S-35</t>
        </is>
      </c>
      <c r="B42" s="24" t="inlineStr">
        <is>
          <t>Scheduling Engine</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1" t="inlineStr">
        <is>
          <t>Live / computed</t>
        </is>
      </c>
      <c r="P42" s="20" t="inlineStr">
        <is>
          <t>—</t>
        </is>
      </c>
      <c r="Q42" s="22" t="inlineStr">
        <is>
          <t>Yes</t>
        </is>
      </c>
      <c r="R42" s="22" t="inlineStr">
        <is>
          <t>Y</t>
        </is>
      </c>
      <c r="S42" s="21" t="inlineStr">
        <is>
          <t>Low</t>
        </is>
      </c>
      <c r="T42" s="18" t="inlineStr">
        <is>
          <t>A hard regulatory clock, fully clear — described in the inventory as the safest automation win available.</t>
        </is>
      </c>
      <c r="U42" s="18" t="inlineStr">
        <is>
          <t>Nothing outstanding.</t>
        </is>
      </c>
    </row>
    <row r="43" ht="76" customHeight="1">
      <c r="A43" s="16" t="inlineStr">
        <is>
          <t>S-36</t>
        </is>
      </c>
      <c r="B43" s="24" t="inlineStr">
        <is>
          <t>Scheduling Engine</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1" t="inlineStr">
        <is>
          <t>Live / computed</t>
        </is>
      </c>
      <c r="P43" s="20" t="inlineStr">
        <is>
          <t>—</t>
        </is>
      </c>
      <c r="Q43" s="22" t="inlineStr">
        <is>
          <t>Yes</t>
        </is>
      </c>
      <c r="R43" s="22" t="inlineStr">
        <is>
          <t>Y</t>
        </is>
      </c>
      <c r="S43" s="21" t="inlineStr">
        <is>
          <t>Low</t>
        </is>
      </c>
      <c r="T43" s="18" t="inlineStr">
        <is>
          <t>Regulatory window; enforce and flag. Recert visits are already on the calendar from the original plan of care.</t>
        </is>
      </c>
      <c r="U43" s="18" t="inlineStr">
        <is>
          <t>Nothing outstanding.</t>
        </is>
      </c>
    </row>
    <row r="44" ht="76" customHeight="1">
      <c r="A44" s="16" t="inlineStr">
        <is>
          <t>S-49</t>
        </is>
      </c>
      <c r="B44" s="24" t="inlineStr">
        <is>
          <t>Scheduling Engine</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1" t="inlineStr">
        <is>
          <t>Live / computed</t>
        </is>
      </c>
      <c r="P44" s="20" t="inlineStr">
        <is>
          <t>—</t>
        </is>
      </c>
      <c r="Q44" s="22" t="inlineStr">
        <is>
          <t>Yes</t>
        </is>
      </c>
      <c r="R44" s="22" t="inlineStr">
        <is>
          <t>Y</t>
        </is>
      </c>
      <c r="S44" s="21" t="inlineStr">
        <is>
          <t>Low</t>
        </is>
      </c>
      <c r="T44" s="18" t="inlineStr">
        <is>
          <t>Added 19 Aug. Queue depth and age are countable, but the queue is other people's work — surface it in front of the people it blocks, do not reorder it.</t>
        </is>
      </c>
      <c r="U44" s="18" t="inlineStr">
        <is>
          <t>Can queue age be reported daily, and who owns acting on it?</t>
        </is>
      </c>
    </row>
    <row r="45" ht="76" customHeight="1">
      <c r="A45" s="16" t="inlineStr">
        <is>
          <t>S-15</t>
        </is>
      </c>
      <c r="B45" s="24" t="inlineStr">
        <is>
          <t>Scheduling Engine</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1" t="inlineStr">
        <is>
          <t>Live / computed</t>
        </is>
      </c>
      <c r="P45" s="20" t="inlineStr">
        <is>
          <t>—</t>
        </is>
      </c>
      <c r="Q45" s="22" t="inlineStr">
        <is>
          <t>Yes</t>
        </is>
      </c>
      <c r="R45" s="22" t="inlineStr">
        <is>
          <t>Y</t>
        </is>
      </c>
      <c r="S45" s="21" t="inlineStr">
        <is>
          <t>High</t>
        </is>
      </c>
      <c r="T45" s="18" t="inlineStr">
        <is>
          <t>A hard gate and fully legible. The sensitivity is the flip side: auto-assigning routine visits to assistants opens a lot of capacity but is a significant change-management conversation.</t>
        </is>
      </c>
      <c r="U45" s="18" t="inlineStr">
        <is>
          <t>How far do we want to push routine visits to assistants, and who owns that decision?</t>
        </is>
      </c>
    </row>
    <row r="46" ht="76" customHeight="1">
      <c r="A46" s="16" t="inlineStr">
        <is>
          <t>S-16</t>
        </is>
      </c>
      <c r="B46" s="24" t="inlineStr">
        <is>
          <t>Scheduling Engine</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1" t="inlineStr">
        <is>
          <t>Stable</t>
        </is>
      </c>
      <c r="P46" s="20" t="inlineStr">
        <is>
          <t>—</t>
        </is>
      </c>
      <c r="Q46" s="22" t="inlineStr">
        <is>
          <t>Yes</t>
        </is>
      </c>
      <c r="R46" s="22" t="inlineStr">
        <is>
          <t>Y</t>
        </is>
      </c>
      <c r="S46" s="21" t="inlineStr">
        <is>
          <t>Medium</t>
        </is>
      </c>
      <c r="T46" s="18" t="inlineStr">
        <is>
          <t>Only as good as the competency data, which is incomplete today. This is human work performed on information the system does not hold.</t>
        </is>
      </c>
      <c r="U46" s="18" t="inlineStr">
        <is>
          <t>Would we build a competency register, and who maintains it?</t>
        </is>
      </c>
    </row>
    <row r="47" ht="76" customHeight="1">
      <c r="A47" s="16" t="inlineStr">
        <is>
          <t>S-33</t>
        </is>
      </c>
      <c r="B47" s="24" t="inlineStr">
        <is>
          <t>Scheduling Engine</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1" t="inlineStr">
        <is>
          <t>Drifts — needs re-contact</t>
        </is>
      </c>
      <c r="P47" s="20" t="inlineStr">
        <is>
          <t>At recertification</t>
        </is>
      </c>
      <c r="Q47" s="22" t="inlineStr">
        <is>
          <t>Yes</t>
        </is>
      </c>
      <c r="R47" s="22" t="inlineStr">
        <is>
          <t>Y</t>
        </is>
      </c>
      <c r="S47" s="21" t="inlineStr">
        <is>
          <t>Medium</t>
        </is>
      </c>
      <c r="T47" s="18" t="inlineStr">
        <is>
          <t>Clinical judgment with patient-safety consequences. Recommend, never decide. Useful for triage when coverage is short.</t>
        </is>
      </c>
      <c r="U47" s="18" t="inlineStr">
        <is>
          <t>Do we have any usable acuity measure today, or is it entirely judgment?</t>
        </is>
      </c>
    </row>
    <row r="48" ht="76" customHeight="1">
      <c r="A48" s="16" t="inlineStr">
        <is>
          <t>S-21</t>
        </is>
      </c>
      <c r="B48" s="24" t="inlineStr">
        <is>
          <t>Scheduling Engine</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1" t="inlineStr">
        <is>
          <t>Stable</t>
        </is>
      </c>
      <c r="P48" s="20" t="inlineStr">
        <is>
          <t>—</t>
        </is>
      </c>
      <c r="Q48" s="22" t="inlineStr">
        <is>
          <t>Yes</t>
        </is>
      </c>
      <c r="R48" s="22" t="inlineStr">
        <is>
          <t>Y</t>
        </is>
      </c>
      <c r="S48" s="21" t="inlineStr">
        <is>
          <t>Medium</t>
        </is>
      </c>
      <c r="T48" s="18" t="inlineStr">
        <is>
          <t>A documented hard gate the system should simply honour — but only once it is actually written down somewhere the system can read.</t>
        </is>
      </c>
      <c r="U48" s="18" t="inlineStr">
        <is>
          <t>Where are clinician restrictions recorded today? This may be the easiest structured-data win on the sheet.</t>
        </is>
      </c>
    </row>
    <row r="49" ht="76" customHeight="1">
      <c r="A49" s="16" t="inlineStr">
        <is>
          <t>S-22</t>
        </is>
      </c>
      <c r="B49" s="24" t="inlineStr">
        <is>
          <t>Scheduling Engine</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1" t="inlineStr">
        <is>
          <t>Stable</t>
        </is>
      </c>
      <c r="P49" s="20" t="inlineStr">
        <is>
          <t>—</t>
        </is>
      </c>
      <c r="Q49" s="22" t="inlineStr">
        <is>
          <t>Maybe</t>
        </is>
      </c>
      <c r="R49" s="22" t="inlineStr">
        <is>
          <t>N</t>
        </is>
      </c>
      <c r="S49" s="21" t="inlineStr">
        <is>
          <t>Medium</t>
        </is>
      </c>
      <c r="T49" s="18" t="inlineStr">
        <is>
          <t>Load-bearing but invisible. Protect it explicitly rather than scoring it against efficiency.</t>
        </is>
      </c>
      <c r="U49" s="18" t="inlineStr">
        <is>
          <t>How much continuity are we willing to trade for routing efficiency? A policy call, not a technical one.</t>
        </is>
      </c>
    </row>
    <row r="50" ht="76" customHeight="1">
      <c r="A50" s="16" t="inlineStr">
        <is>
          <t>S-37</t>
        </is>
      </c>
      <c r="B50" s="24" t="inlineStr">
        <is>
          <t>Scheduling Engine</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1" t="inlineStr">
        <is>
          <t>Live / computed</t>
        </is>
      </c>
      <c r="P50" s="20" t="inlineStr">
        <is>
          <t>—</t>
        </is>
      </c>
      <c r="Q50" s="22" t="inlineStr">
        <is>
          <t>Yes</t>
        </is>
      </c>
      <c r="R50" s="22" t="inlineStr">
        <is>
          <t>Y</t>
        </is>
      </c>
      <c r="S50" s="21" t="inlineStr">
        <is>
          <t>Low</t>
        </is>
      </c>
      <c r="T50" s="18" t="inlineStr">
        <is>
          <t>Rule-based and legible.</t>
        </is>
      </c>
      <c r="U50" s="18" t="inlineStr">
        <is>
          <t>Nothing outstanding.</t>
        </is>
      </c>
    </row>
    <row r="51" ht="76" customHeight="1">
      <c r="A51" s="16" t="inlineStr">
        <is>
          <t>S-31</t>
        </is>
      </c>
      <c r="B51" s="24" t="inlineStr">
        <is>
          <t>Scheduling Engine</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1" t="inlineStr">
        <is>
          <t>Drifts — needs re-contact</t>
        </is>
      </c>
      <c r="P51" s="20" t="inlineStr">
        <is>
          <t>Weekly — when the week is built</t>
        </is>
      </c>
      <c r="Q51" s="22" t="inlineStr">
        <is>
          <t>Yes</t>
        </is>
      </c>
      <c r="R51" s="22" t="inlineStr">
        <is>
          <t>Y</t>
        </is>
      </c>
      <c r="S51" s="21" t="inlineStr">
        <is>
          <t>Medium</t>
        </is>
      </c>
      <c r="T51" s="18" t="inlineStr">
        <is>
          <t>Clinical judgment with patient-safety consequences — flag it, never decide it. Also the clearest place where a rehospitalisation-risk signal would earn its keep.</t>
        </is>
      </c>
      <c r="U51" s="18" t="inlineStr">
        <is>
          <t>Could clinically driven timing be flagged distinctly from preference in the record?</t>
        </is>
      </c>
    </row>
    <row r="52" ht="76" customHeight="1">
      <c r="A52" s="16" t="inlineStr">
        <is>
          <t>S-34</t>
        </is>
      </c>
      <c r="B52" s="24" t="inlineStr">
        <is>
          <t>Scheduling Engine</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1" t="inlineStr">
        <is>
          <t>Drifts — needs re-contact</t>
        </is>
      </c>
      <c r="P52" s="20" t="inlineStr">
        <is>
          <t>Day before — the confirmation round</t>
        </is>
      </c>
      <c r="Q52" s="22" t="inlineStr">
        <is>
          <t>Maybe</t>
        </is>
      </c>
      <c r="R52" s="22" t="inlineStr">
        <is>
          <t>N</t>
        </is>
      </c>
      <c r="S52" s="21" t="inlineStr">
        <is>
          <t>Low</t>
        </is>
      </c>
      <c r="T52" s="18" t="inlineStr">
        <is>
          <t>Partly rule, partly judgment. A system can propose the sequence and flag conflicts; the clinician confirms.</t>
        </is>
      </c>
      <c r="U52" s="18" t="inlineStr">
        <is>
          <t>Are there written sequencing rules, or is this entirely clinician knowledge?</t>
        </is>
      </c>
    </row>
    <row r="53" ht="76" customHeight="1">
      <c r="A53" s="16" t="inlineStr">
        <is>
          <t>S-48</t>
        </is>
      </c>
      <c r="B53" s="24" t="inlineStr">
        <is>
          <t>Scheduling Engine</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1" t="inlineStr">
        <is>
          <t>Live / computed</t>
        </is>
      </c>
      <c r="P53" s="20" t="inlineStr">
        <is>
          <t>—</t>
        </is>
      </c>
      <c r="Q53" s="22" t="inlineStr">
        <is>
          <t>Maybe</t>
        </is>
      </c>
      <c r="R53" s="22" t="inlineStr">
        <is>
          <t>N</t>
        </is>
      </c>
      <c r="S53" s="21" t="inlineStr">
        <is>
          <t>Medium</t>
        </is>
      </c>
      <c r="T53" s="18" t="inlineStr">
        <is>
          <t>Added 19 Aug. A risk score may inform priority; it may not silently reorder a clinician's day or override clinical judgment. The natural companion to acuity matching when coverage is short.</t>
        </is>
      </c>
      <c r="U53" s="18" t="inlineStr">
        <is>
          <t>Is Pulse data reachable from scheduling today, and in what form?</t>
        </is>
      </c>
    </row>
    <row r="54" ht="76" customHeight="1">
      <c r="A54" s="16" t="inlineStr">
        <is>
          <t>S-17</t>
        </is>
      </c>
      <c r="B54" s="24" t="inlineStr">
        <is>
          <t>Scheduling Engine</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1" t="inlineStr">
        <is>
          <t>Live / computed</t>
        </is>
      </c>
      <c r="P54" s="20" t="inlineStr">
        <is>
          <t>—</t>
        </is>
      </c>
      <c r="Q54" s="22" t="inlineStr">
        <is>
          <t>Maybe</t>
        </is>
      </c>
      <c r="R54" s="22" t="inlineStr">
        <is>
          <t>N</t>
        </is>
      </c>
      <c r="S54" s="21" t="inlineStr">
        <is>
          <t>Low</t>
        </is>
      </c>
      <c r="T54" s="18" t="inlineStr">
        <is>
          <t>Geometry, and safely reversible. The efficiency gain here is real rather than borrowed from someone's slack.</t>
        </is>
      </c>
      <c r="U54" s="18" t="inlineStr">
        <is>
          <t>What routing data does HCHB actually use today — distance, or real drive time?</t>
        </is>
      </c>
    </row>
    <row r="55" ht="76" customHeight="1">
      <c r="A55" s="16" t="inlineStr">
        <is>
          <t>S-18</t>
        </is>
      </c>
      <c r="B55" s="24" t="inlineStr">
        <is>
          <t>Scheduling Engine</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1" t="inlineStr">
        <is>
          <t>Live / computed</t>
        </is>
      </c>
      <c r="P55" s="20" t="inlineStr">
        <is>
          <t>—</t>
        </is>
      </c>
      <c r="Q55" s="22" t="inlineStr">
        <is>
          <t>Yes</t>
        </is>
      </c>
      <c r="R55" s="22" t="inlineStr">
        <is>
          <t>N</t>
        </is>
      </c>
      <c r="S55" s="21" t="inlineStr">
        <is>
          <t>Low</t>
        </is>
      </c>
      <c r="T55" s="18" t="inlineStr">
        <is>
          <t>Deterministic routing maths.</t>
        </is>
      </c>
      <c r="U55" s="18" t="inlineStr">
        <is>
          <t>Is mileage currently reported anywhere the branch actually looks at?</t>
        </is>
      </c>
    </row>
    <row r="56" ht="76" customHeight="1">
      <c r="A56" s="16" t="inlineStr">
        <is>
          <t>S-19</t>
        </is>
      </c>
      <c r="B56" s="24" t="inlineStr">
        <is>
          <t>Scheduling Engine</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1" t="inlineStr">
        <is>
          <t>Live / computed</t>
        </is>
      </c>
      <c r="P56" s="20" t="inlineStr">
        <is>
          <t>—</t>
        </is>
      </c>
      <c r="Q56" s="22" t="inlineStr">
        <is>
          <t>Maybe</t>
        </is>
      </c>
      <c r="R56" s="22" t="inlineStr">
        <is>
          <t>N</t>
        </is>
      </c>
      <c r="S56" s="21" t="inlineStr">
        <is>
          <t>Medium</t>
        </is>
      </c>
      <c r="T56" s="18" t="inlineStr">
        <is>
          <t>A legible skeleton pinned by tacit anchors. Propose the sequence; let the person place the anchors.</t>
        </is>
      </c>
      <c r="U56" s="18" t="inlineStr">
        <is>
          <t>Nothing outstanding.</t>
        </is>
      </c>
    </row>
    <row r="57" ht="76" customHeight="1">
      <c r="A57" s="16" t="inlineStr">
        <is>
          <t>S-20</t>
        </is>
      </c>
      <c r="B57" s="24" t="inlineStr">
        <is>
          <t>Scheduling Engine</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1" t="inlineStr">
        <is>
          <t>Drifts — needs re-contact</t>
        </is>
      </c>
      <c r="P57" s="20" t="inlineStr">
        <is>
          <t>Day before — the confirmation round</t>
        </is>
      </c>
      <c r="Q57" s="22" t="inlineStr">
        <is>
          <t>Yes</t>
        </is>
      </c>
      <c r="R57" s="22" t="inlineStr">
        <is>
          <t>N</t>
        </is>
      </c>
      <c r="S57" s="21" t="inlineStr">
        <is>
          <t>High</t>
        </is>
      </c>
      <c r="T57" s="18" t="inlineStr">
        <is>
          <t>Enforceable once captured; capture is the weak point. Standardising this would move patient satisfaction and team efficiency together — and it is a visible change for clinicians.</t>
        </is>
      </c>
      <c r="U57" s="18" t="inlineStr">
        <is>
          <t>Do we want to move to committed time windows, and what would that cost in flexibility?</t>
        </is>
      </c>
    </row>
    <row r="58" ht="76" customHeight="1">
      <c r="A58" s="16" t="inlineStr">
        <is>
          <t>S-45</t>
        </is>
      </c>
      <c r="B58" s="24" t="inlineStr">
        <is>
          <t>Scheduling Engine</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1" t="inlineStr">
        <is>
          <t>Stable</t>
        </is>
      </c>
      <c r="P58" s="20" t="inlineStr">
        <is>
          <t>—</t>
        </is>
      </c>
      <c r="Q58" s="22" t="inlineStr">
        <is>
          <t>Maybe</t>
        </is>
      </c>
      <c r="R58" s="22" t="inlineStr">
        <is>
          <t>N</t>
        </is>
      </c>
      <c r="S58" s="21" t="inlineStr">
        <is>
          <t>Medium</t>
        </is>
      </c>
      <c r="T58" s="18" t="inlineStr">
        <is>
          <t>Numbered S-45 on 19 Aug. Where it applies the slot is removed from the route rather than flagged for override. Currently invisible to any scheduling logic, and it varies by market.</t>
        </is>
      </c>
      <c r="U58" s="18" t="inlineStr">
        <is>
          <t>Which markets have safety rules today, and where are they written down?</t>
        </is>
      </c>
    </row>
    <row r="59" ht="76" customHeight="1">
      <c r="A59" s="16" t="inlineStr">
        <is>
          <t>S-40</t>
        </is>
      </c>
      <c r="B59" s="24" t="inlineStr">
        <is>
          <t>Scheduling Engine</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1" t="inlineStr">
        <is>
          <t>Live / computed</t>
        </is>
      </c>
      <c r="P59" s="20" t="inlineStr">
        <is>
          <t>—</t>
        </is>
      </c>
      <c r="Q59" s="22" t="inlineStr">
        <is>
          <t>Maybe</t>
        </is>
      </c>
      <c r="R59" s="22" t="inlineStr">
        <is>
          <t>N</t>
        </is>
      </c>
      <c r="S59" s="21" t="inlineStr">
        <is>
          <t>Medium</t>
        </is>
      </c>
      <c r="T59" s="18" t="inlineStr">
        <is>
          <t>A target, not a law. Forcing it flattens the clinician's own rhythm, which costs more than it saves.</t>
        </is>
      </c>
      <c r="U59" s="18" t="inlineStr">
        <is>
          <t>Is 42% by Tuesday the standard we want to hold branches to?</t>
        </is>
      </c>
    </row>
    <row r="60" ht="76" customHeight="1">
      <c r="A60" s="16" t="inlineStr">
        <is>
          <t>S-41</t>
        </is>
      </c>
      <c r="B60" s="24" t="inlineStr">
        <is>
          <t>Scheduling Engine</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1" t="inlineStr">
        <is>
          <t>Live / computed</t>
        </is>
      </c>
      <c r="P60" s="20" t="inlineStr">
        <is>
          <t>—</t>
        </is>
      </c>
      <c r="Q60" s="22" t="inlineStr">
        <is>
          <t>Maybe</t>
        </is>
      </c>
      <c r="R60" s="22" t="inlineStr">
        <is>
          <t>N</t>
        </is>
      </c>
      <c r="S60" s="21" t="inlineStr">
        <is>
          <t>Low</t>
        </is>
      </c>
      <c r="T60" s="18" t="inlineStr">
        <is>
          <t>A derived read, safe to surface. This is the archetype of the pattern you described: the system can produce it, but somebody has to look and act.</t>
        </is>
      </c>
      <c r="U60" s="18" t="inlineStr">
        <is>
          <t>Who should own the daily pace read — Clinical Manager, Scheduler, or both?</t>
        </is>
      </c>
    </row>
    <row r="61" ht="76" customHeight="1">
      <c r="A61" s="16" t="inlineStr">
        <is>
          <t>S-42</t>
        </is>
      </c>
      <c r="B61" s="24" t="inlineStr">
        <is>
          <t>Scheduling Engine</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1" t="inlineStr">
        <is>
          <t>Live / computed</t>
        </is>
      </c>
      <c r="P61" s="20" t="inlineStr">
        <is>
          <t>—</t>
        </is>
      </c>
      <c r="Q61" s="22" t="inlineStr">
        <is>
          <t>Maybe</t>
        </is>
      </c>
      <c r="R61" s="22" t="inlineStr">
        <is>
          <t>N</t>
        </is>
      </c>
      <c r="S61" s="21" t="inlineStr">
        <is>
          <t>Medium</t>
        </is>
      </c>
      <c r="T61" s="18" t="inlineStr">
        <is>
          <t>Optimisable, but it touches human routines — assist rather than dictate.</t>
        </is>
      </c>
      <c r="U61" s="18" t="inlineStr">
        <is>
          <t>Nothing outstanding.</t>
        </is>
      </c>
    </row>
    <row r="62" ht="76" customHeight="1">
      <c r="A62" s="16" t="inlineStr">
        <is>
          <t>S-38</t>
        </is>
      </c>
      <c r="B62" s="24" t="inlineStr">
        <is>
          <t>Scheduling Engine</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1" t="inlineStr">
        <is>
          <t>Live / computed</t>
        </is>
      </c>
      <c r="P62" s="20" t="inlineStr">
        <is>
          <t>—</t>
        </is>
      </c>
      <c r="Q62" s="22" t="inlineStr">
        <is>
          <t>Yes</t>
        </is>
      </c>
      <c r="R62" s="22" t="inlineStr">
        <is>
          <t>Y</t>
        </is>
      </c>
      <c r="S62" s="21" t="inlineStr">
        <is>
          <t>Low</t>
        </is>
      </c>
      <c r="T62" s="18" t="inlineStr">
        <is>
          <t>Sensing the miss is legible; the recovery pulls the whole problem back in. Note the visit states run scheduled, then documentation pending, then missed — so 'missed' is a late signal.</t>
        </is>
      </c>
      <c r="U62" s="18" t="inlineStr">
        <is>
          <t>Can we detect a likely miss earlier than the missed status appears?</t>
        </is>
      </c>
    </row>
    <row r="63" ht="76" customHeight="1">
      <c r="A63" s="16" t="inlineStr">
        <is>
          <t>S-39</t>
        </is>
      </c>
      <c r="B63" s="24" t="inlineStr">
        <is>
          <t>Scheduling Engine</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1" t="inlineStr">
        <is>
          <t>Stable</t>
        </is>
      </c>
      <c r="P63" s="20" t="inlineStr">
        <is>
          <t>—</t>
        </is>
      </c>
      <c r="Q63" s="22" t="inlineStr">
        <is>
          <t>Yes</t>
        </is>
      </c>
      <c r="R63" s="22" t="inlineStr">
        <is>
          <t>N</t>
        </is>
      </c>
      <c r="S63" s="21" t="inlineStr">
        <is>
          <t>Low</t>
        </is>
      </c>
      <c r="T63" s="18" t="inlineStr">
        <is>
          <t>Workflow and compliance prompting — safe to automate, and already partly automated.</t>
        </is>
      </c>
      <c r="U63" s="18" t="inlineStr">
        <is>
          <t>Nothing outstanding.</t>
        </is>
      </c>
    </row>
    <row r="64" ht="76" customHeight="1">
      <c r="A64" s="16" t="inlineStr">
        <is>
          <t>S-50</t>
        </is>
      </c>
      <c r="B64" s="24" t="inlineStr">
        <is>
          <t>Scheduling Engine</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1" t="inlineStr">
        <is>
          <t>Live / computed</t>
        </is>
      </c>
      <c r="P64" s="20" t="inlineStr">
        <is>
          <t>—</t>
        </is>
      </c>
      <c r="Q64" s="22" t="inlineStr">
        <is>
          <t>Maybe</t>
        </is>
      </c>
      <c r="R64" s="22" t="inlineStr">
        <is>
          <t>N</t>
        </is>
      </c>
      <c r="S64" s="21" t="inlineStr">
        <is>
          <t>Low</t>
        </is>
      </c>
      <c r="T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U64" s="18" t="inlineStr">
        <is>
          <t>How long is the blind window in practice? Nobody has measured it.</t>
        </is>
      </c>
    </row>
    <row r="65" ht="76" customHeight="1">
      <c r="A65" s="16" t="inlineStr">
        <is>
          <t>S-25</t>
        </is>
      </c>
      <c r="B65" s="25" t="inlineStr">
        <is>
          <t>Patient Engagement</t>
        </is>
      </c>
      <c r="C65" s="18" t="inlineStr">
        <is>
          <t>Engagement</t>
        </is>
      </c>
      <c r="D65" s="19" t="inlineStr">
        <is>
          <t>Matching</t>
        </is>
      </c>
      <c r="E65" s="23" t="inlineStr">
        <is>
          <t>Differs — the one-pager groups this under Scheduling Engine</t>
        </is>
      </c>
      <c r="F65" s="18" t="inlineStr">
        <is>
          <t>Times the patient will not accept</t>
        </is>
      </c>
      <c r="G65" s="18" t="inlineStr">
        <is>
          <t>A flat refusal of a time band — nothing before eleven, no afternoons. It removes slots outright and reshapes the whole route around it.</t>
        </is>
      </c>
      <c r="H65" s="20" t="inlineStr">
        <is>
          <t>Scheduler or Clinician — captures it in conversation</t>
        </is>
      </c>
      <c r="I65" s="20" t="inlineStr">
        <is>
          <t>Scheduler — schedules around it</t>
        </is>
      </c>
      <c r="J65" s="20" t="inlineStr">
        <is>
          <t>HCHB coordination note — free text written by a person, not a structured field.</t>
        </is>
      </c>
      <c r="K65" s="21" t="inlineStr">
        <is>
          <t>Medium</t>
        </is>
      </c>
      <c r="L65" s="20" t="inlineStr">
        <is>
          <t>Assist</t>
        </is>
      </c>
      <c r="M65" s="20" t="inlineStr">
        <is>
          <t>Scheduler</t>
        </is>
      </c>
      <c r="N65" s="20" t="inlineStr">
        <is>
          <t>Per episode, revisited in conversation</t>
        </is>
      </c>
      <c r="O65" s="21" t="inlineStr">
        <is>
          <t>Drifts — needs re-contact</t>
        </is>
      </c>
      <c r="P65" s="20" t="inlineStr">
        <is>
          <t>Day before — the confirmation round</t>
        </is>
      </c>
      <c r="Q65" s="22" t="inlineStr">
        <is>
          <t>Yes</t>
        </is>
      </c>
      <c r="R65" s="22" t="inlineStr">
        <is>
          <t>N</t>
        </is>
      </c>
      <c r="S65" s="21" t="inlineStr">
        <is>
          <t>Medium</t>
        </is>
      </c>
      <c r="T65" s="18" t="inlineStr">
        <is>
          <t>Hard once captured, but a stale refusal causes a failed visit — and in practice these soften with relationship. Worth re-testing rather than treating as permanent.</t>
        </is>
      </c>
      <c r="U65" s="18" t="inlineStr">
        <is>
          <t>Should refusals carry a review date so they do not calcify?</t>
        </is>
      </c>
    </row>
    <row r="66" ht="76" customHeight="1">
      <c r="A66" s="16" t="inlineStr">
        <is>
          <t>S-26</t>
        </is>
      </c>
      <c r="B66" s="25" t="inlineStr">
        <is>
          <t>Patient Engagement</t>
        </is>
      </c>
      <c r="C66" s="18" t="inlineStr">
        <is>
          <t>Engagement</t>
        </is>
      </c>
      <c r="D66" s="19" t="inlineStr">
        <is>
          <t>Matching</t>
        </is>
      </c>
      <c r="E66" s="23" t="inlineStr">
        <is>
          <t>Differs — the one-pager groups this under Scheduling Engine</t>
        </is>
      </c>
      <c r="F66" s="18" t="inlineStr">
        <is>
          <t>Preferred visit window</t>
        </is>
      </c>
      <c r="G66" s="18" t="inlineStr">
        <is>
          <t>When the patient would like to be seen. Softer than a refusal, but it drives satisfaction and whether the visit actually happens.</t>
        </is>
      </c>
      <c r="H66" s="20" t="inlineStr">
        <is>
          <t>Scheduler or Clinician — captures it</t>
        </is>
      </c>
      <c r="I66" s="20" t="inlineStr">
        <is>
          <t>Scheduler — optimises toward it</t>
        </is>
      </c>
      <c r="J66" s="20" t="inlineStr">
        <is>
          <t>HCHB coordination note — free text.</t>
        </is>
      </c>
      <c r="K66" s="21" t="inlineStr">
        <is>
          <t>Medium</t>
        </is>
      </c>
      <c r="L66" s="20" t="inlineStr">
        <is>
          <t>Assist</t>
        </is>
      </c>
      <c r="M66" s="20" t="inlineStr">
        <is>
          <t>Scheduler</t>
        </is>
      </c>
      <c r="N66" s="20" t="inlineStr">
        <is>
          <t>Per episode</t>
        </is>
      </c>
      <c r="O66" s="21" t="inlineStr">
        <is>
          <t>Drifts — needs re-contact</t>
        </is>
      </c>
      <c r="P66" s="20" t="inlineStr">
        <is>
          <t>Day before — the confirmation round</t>
        </is>
      </c>
      <c r="Q66" s="22" t="inlineStr">
        <is>
          <t>Maybe</t>
        </is>
      </c>
      <c r="R66" s="22" t="inlineStr">
        <is>
          <t>N</t>
        </is>
      </c>
      <c r="S66" s="21" t="inlineStr">
        <is>
          <t>Low</t>
        </is>
      </c>
      <c r="T66" s="18" t="inlineStr">
        <is>
          <t>Optimise toward it, confirm before committing.</t>
        </is>
      </c>
      <c r="U66" s="18" t="inlineStr">
        <is>
          <t>Nothing outstanding.</t>
        </is>
      </c>
    </row>
    <row r="67" ht="76" customHeight="1">
      <c r="A67" s="16" t="inlineStr">
        <is>
          <t>S-27</t>
        </is>
      </c>
      <c r="B67" s="25" t="inlineStr">
        <is>
          <t>Patient Engagement</t>
        </is>
      </c>
      <c r="C67" s="18" t="inlineStr"/>
      <c r="D67" s="19" t="inlineStr">
        <is>
          <t>Matching</t>
        </is>
      </c>
      <c r="E67" s="23" t="inlineStr">
        <is>
          <t>Differs — the one-pager groups this under Scheduling Engine</t>
        </is>
      </c>
      <c r="F67" s="18" t="inlineStr">
        <is>
          <t>Days the patient is committed elsewhere</t>
        </is>
      </c>
      <c r="G67" s="18" t="inlineStr">
        <is>
          <t>Standing commitments that block whole days — dialysis on Monday, Wednesday and Friday, a regular clinic appointment. These are hard, and they are patient-reported.</t>
        </is>
      </c>
      <c r="H67" s="20" t="inlineStr">
        <is>
          <t>Scheduler or Clinician — captures it</t>
        </is>
      </c>
      <c r="I67" s="20" t="inlineStr">
        <is>
          <t>Scheduler — schedules around it</t>
        </is>
      </c>
      <c r="J67" s="20" t="inlineStr">
        <is>
          <t>HCHB coordination note — free text.</t>
        </is>
      </c>
      <c r="K67" s="21" t="inlineStr">
        <is>
          <t>Medium</t>
        </is>
      </c>
      <c r="L67" s="20" t="inlineStr">
        <is>
          <t>Assist</t>
        </is>
      </c>
      <c r="M67" s="20" t="inlineStr">
        <is>
          <t>Scheduler</t>
        </is>
      </c>
      <c r="N67" s="20" t="inlineStr">
        <is>
          <t>Per episode</t>
        </is>
      </c>
      <c r="O67" s="21" t="inlineStr">
        <is>
          <t>Drifts — needs re-contact</t>
        </is>
      </c>
      <c r="P67" s="20" t="inlineStr">
        <is>
          <t>Weekly — when the week is built</t>
        </is>
      </c>
      <c r="Q67" s="22" t="inlineStr">
        <is>
          <t>Yes</t>
        </is>
      </c>
      <c r="R67" s="22" t="inlineStr">
        <is>
          <t>Y</t>
        </is>
      </c>
      <c r="S67" s="21" t="inlineStr">
        <is>
          <t>Low</t>
        </is>
      </c>
      <c r="T67" s="18" t="inlineStr">
        <is>
          <t>A standing constraint, but patient-reported — trust and verify.</t>
        </is>
      </c>
      <c r="U67" s="18" t="inlineStr">
        <is>
          <t>Could standing commitments be captured as structured dates rather than free text?</t>
        </is>
      </c>
    </row>
    <row r="68" ht="76" customHeight="1">
      <c r="A68" s="16" t="inlineStr">
        <is>
          <t>S-28</t>
        </is>
      </c>
      <c r="B68" s="25" t="inlineStr">
        <is>
          <t>Patient Engagement</t>
        </is>
      </c>
      <c r="C68" s="18" t="inlineStr">
        <is>
          <t>Engagement</t>
        </is>
      </c>
      <c r="D68" s="19" t="inlineStr">
        <is>
          <t>Matching</t>
        </is>
      </c>
      <c r="E68" s="23" t="inlineStr">
        <is>
          <t>Differs — the one-pager groups this under Scheduling Engine</t>
        </is>
      </c>
      <c r="F68" s="18" t="inlineStr">
        <is>
          <t>Caregiver has to be present</t>
        </is>
      </c>
      <c r="G68" s="18" t="inlineStr">
        <is>
          <t>Some visits can only happen when a family member or carer is there — wound-care teaching, insulin, or simply to let the clinician in. It ties the visit to a second person's calendar.</t>
        </is>
      </c>
      <c r="H68" s="20" t="inlineStr">
        <is>
          <t>Scheduler or Clinician — confirms before booking</t>
        </is>
      </c>
      <c r="I68" s="20" t="inlineStr">
        <is>
          <t>Scheduler — and the Clinician on the day</t>
        </is>
      </c>
      <c r="J68" s="20" t="inlineStr">
        <is>
          <t>HCHB coordination note — free text.</t>
        </is>
      </c>
      <c r="K68" s="21" t="inlineStr">
        <is>
          <t>Medium</t>
        </is>
      </c>
      <c r="L68" s="20" t="inlineStr">
        <is>
          <t>Surface</t>
        </is>
      </c>
      <c r="M68" s="20" t="inlineStr">
        <is>
          <t>Scheduler — confirms with the family</t>
        </is>
      </c>
      <c r="N68" s="20" t="inlineStr">
        <is>
          <t>Per visit for affected patients</t>
        </is>
      </c>
      <c r="O68" s="21" t="inlineStr">
        <is>
          <t>Drifts — needs re-contact</t>
        </is>
      </c>
      <c r="P68" s="20" t="inlineStr">
        <is>
          <t>Day before — the confirmation round</t>
        </is>
      </c>
      <c r="Q68" s="22" t="inlineStr">
        <is>
          <t>Yes</t>
        </is>
      </c>
      <c r="R68" s="22" t="inlineStr">
        <is>
          <t>Y</t>
        </is>
      </c>
      <c r="S68" s="21" t="inlineStr">
        <is>
          <t>Medium</t>
        </is>
      </c>
      <c r="T68" s="18" t="inlineStr">
        <is>
          <t>The clearest 'surface, never decide' row on the sheet: a hard rule, a changing informal input, and a patient-safety consequence if it is wrong.</t>
        </is>
      </c>
      <c r="U68" s="18" t="inlineStr">
        <is>
          <t>How often does caregiver availability change mid-episode, and does anyone update the note when it does?</t>
        </is>
      </c>
    </row>
    <row r="69" ht="76" customHeight="1">
      <c r="A69" s="16" t="inlineStr">
        <is>
          <t>S-29</t>
        </is>
      </c>
      <c r="B69" s="25" t="inlineStr">
        <is>
          <t>Patient Engagement</t>
        </is>
      </c>
      <c r="C69" s="18" t="inlineStr">
        <is>
          <t>Engagement</t>
        </is>
      </c>
      <c r="D69" s="19" t="inlineStr">
        <is>
          <t>Matching</t>
        </is>
      </c>
      <c r="E69" s="23" t="inlineStr">
        <is>
          <t>Differs — the one-pager groups this under Scheduling Engine</t>
        </is>
      </c>
      <c r="F69" s="18" t="inlineStr">
        <is>
          <t>Cognitive and dementia constraints</t>
        </is>
      </c>
      <c r="G69" s="18" t="inlineStr">
        <is>
          <t>When a patient cannot safely admit a clinician or follow instruction alone, a caregiver becomes a hard gate and the available windows narrow sharply.</t>
        </is>
      </c>
      <c r="H69" s="20" t="inlineStr">
        <is>
          <t>Clinician — identifies it; Scheduler — schedules to it</t>
        </is>
      </c>
      <c r="I69" s="20" t="inlineStr">
        <is>
          <t>Clinician — owns the clinical judgment</t>
        </is>
      </c>
      <c r="J69" s="20" t="inlineStr">
        <is>
          <t>Clinical detail in HCHB; the scheduling consequence in the coordination note.</t>
        </is>
      </c>
      <c r="K69" s="21" t="inlineStr">
        <is>
          <t>Medium</t>
        </is>
      </c>
      <c r="L69" s="20" t="inlineStr">
        <is>
          <t>Surface</t>
        </is>
      </c>
      <c r="M69" s="20" t="inlineStr">
        <is>
          <t>Clinician / Clinical Manager</t>
        </is>
      </c>
      <c r="N69" s="20" t="inlineStr">
        <is>
          <t>Per episode</t>
        </is>
      </c>
      <c r="O69" s="21" t="inlineStr">
        <is>
          <t>Drifts — needs re-contact</t>
        </is>
      </c>
      <c r="P69" s="20" t="inlineStr">
        <is>
          <t>At start of care</t>
        </is>
      </c>
      <c r="Q69" s="22" t="inlineStr">
        <is>
          <t>Yes</t>
        </is>
      </c>
      <c r="R69" s="22" t="inlineStr">
        <is>
          <t>Y</t>
        </is>
      </c>
      <c r="S69" s="21" t="inlineStr">
        <is>
          <t>Medium</t>
        </is>
      </c>
      <c r="T69" s="18" t="inlineStr">
        <is>
          <t>Cognition plus caregiver dependency plus safety. Automation must only surface.</t>
        </is>
      </c>
      <c r="U69" s="18" t="inlineStr">
        <is>
          <t>Nothing outstanding — but confirm the note reliably reaches the scheduler.</t>
        </is>
      </c>
    </row>
    <row r="70" ht="76" customHeight="1">
      <c r="A70" s="16" t="inlineStr">
        <is>
          <t>S-30</t>
        </is>
      </c>
      <c r="B70" s="25" t="inlineStr">
        <is>
          <t>Patient Engagement</t>
        </is>
      </c>
      <c r="C70" s="18" t="inlineStr">
        <is>
          <t>Engagement</t>
        </is>
      </c>
      <c r="D70" s="19" t="inlineStr">
        <is>
          <t>Matching</t>
        </is>
      </c>
      <c r="E70" s="23" t="inlineStr">
        <is>
          <t>Differs — the one-pager groups this under Scheduling Engine</t>
        </is>
      </c>
      <c r="F70" s="18" t="inlineStr">
        <is>
          <t>The caregiver's own changing schedule</t>
        </is>
      </c>
      <c r="G70" s="18" t="inlineStr">
        <is>
          <t>Scheduling around two moving calendars at once — the patient's and a carer who works rotating shifts. The hardest real case in the whole model, and almost entirely undocumented.</t>
        </is>
      </c>
      <c r="H70" s="20" t="inlineStr">
        <is>
          <t>Scheduler and Clinician — renegotiate as it changes</t>
        </is>
      </c>
      <c r="I70" s="20" t="inlineStr">
        <is>
          <t>Scheduler — with the family</t>
        </is>
      </c>
      <c r="J70" s="20" t="inlineStr">
        <is>
          <t>Not recorded anywhere in a durable form.</t>
        </is>
      </c>
      <c r="K70" s="21" t="inlineStr">
        <is>
          <t>Low</t>
        </is>
      </c>
      <c r="L70" s="20" t="inlineStr">
        <is>
          <t>Surface</t>
        </is>
      </c>
      <c r="M70" s="20" t="inlineStr">
        <is>
          <t>Scheduler</t>
        </is>
      </c>
      <c r="N70" s="20" t="inlineStr">
        <is>
          <t>Weekly, sometimes more</t>
        </is>
      </c>
      <c r="O70" s="21" t="inlineStr">
        <is>
          <t>Drifts — needs re-contact</t>
        </is>
      </c>
      <c r="P70" s="20" t="inlineStr">
        <is>
          <t>Day before — the confirmation round</t>
        </is>
      </c>
      <c r="Q70" s="22" t="inlineStr">
        <is>
          <t>Yes</t>
        </is>
      </c>
      <c r="R70" s="22" t="inlineStr">
        <is>
          <t>Y</t>
        </is>
      </c>
      <c r="S70" s="21" t="inlineStr">
        <is>
          <t>Medium</t>
        </is>
      </c>
      <c r="T70" s="18" t="inlineStr">
        <is>
          <t>Two undocumented moving calendars. A system can show what it last heard; it cannot know.</t>
        </is>
      </c>
      <c r="U70" s="18" t="inlineStr">
        <is>
          <t>Is there any value in capturing caregiver availability as structured data, or is it too volatile to be worth it?</t>
        </is>
      </c>
    </row>
    <row r="71" ht="76" customHeight="1">
      <c r="A71" s="16" t="inlineStr">
        <is>
          <t>S-32</t>
        </is>
      </c>
      <c r="B71" s="25" t="inlineStr">
        <is>
          <t>Patient Engagement</t>
        </is>
      </c>
      <c r="C71" s="18" t="inlineStr">
        <is>
          <t>Engagement</t>
        </is>
      </c>
      <c r="D71" s="19" t="inlineStr">
        <is>
          <t>Matching</t>
        </is>
      </c>
      <c r="E71" s="23" t="inlineStr">
        <is>
          <t>Differs — the one-pager groups this under Scheduling Engine</t>
        </is>
      </c>
      <c r="F71" s="18" t="inlineStr">
        <is>
          <t>Competing medical appointments</t>
        </is>
      </c>
      <c r="G71" s="18" t="inlineStr">
        <is>
          <t>The patient's other appointments — dialysis, infusion, a specialist visit — that remove days or windows. Usually surfaces in conversation rather than in the record.</t>
        </is>
      </c>
      <c r="H71" s="20" t="inlineStr">
        <is>
          <t>Scheduler or Clinician — learns it by asking</t>
        </is>
      </c>
      <c r="I71" s="20" t="inlineStr">
        <is>
          <t>Scheduler</t>
        </is>
      </c>
      <c r="J71" s="20" t="inlineStr">
        <is>
          <t>HCHB coordination note when captured; otherwise not recorded.</t>
        </is>
      </c>
      <c r="K71" s="21" t="inlineStr">
        <is>
          <t>Medium</t>
        </is>
      </c>
      <c r="L71" s="20" t="inlineStr">
        <is>
          <t>Assist</t>
        </is>
      </c>
      <c r="M71" s="20" t="inlineStr">
        <is>
          <t>Scheduler</t>
        </is>
      </c>
      <c r="N71" s="20" t="inlineStr">
        <is>
          <t>Per episode, and it changes</t>
        </is>
      </c>
      <c r="O71" s="21" t="inlineStr">
        <is>
          <t>Drifts — needs re-contact</t>
        </is>
      </c>
      <c r="P71" s="20" t="inlineStr">
        <is>
          <t>Day before — the confirmation round</t>
        </is>
      </c>
      <c r="Q71" s="22" t="inlineStr">
        <is>
          <t>Yes</t>
        </is>
      </c>
      <c r="R71" s="22" t="inlineStr">
        <is>
          <t>Y</t>
        </is>
      </c>
      <c r="S71" s="21" t="inlineStr">
        <is>
          <t>Low</t>
        </is>
      </c>
      <c r="T71" s="18" t="inlineStr">
        <is>
          <t>Capturable if reported. The failure mode is a visit booked into an appointment nobody knew about.</t>
        </is>
      </c>
      <c r="U71" s="18" t="inlineStr">
        <is>
          <t>Nothing outstanding.</t>
        </is>
      </c>
    </row>
    <row r="72" ht="76" customHeight="1">
      <c r="A72" s="16" t="inlineStr">
        <is>
          <t>S-23</t>
        </is>
      </c>
      <c r="B72" s="25" t="inlineStr">
        <is>
          <t>Patient Engagement</t>
        </is>
      </c>
      <c r="C72" s="18" t="inlineStr"/>
      <c r="D72" s="19" t="inlineStr">
        <is>
          <t>Matching</t>
        </is>
      </c>
      <c r="E72" s="23" t="inlineStr">
        <is>
          <t>Differs — the one-pager groups this under Scheduling Engine</t>
        </is>
      </c>
      <c r="F72" s="18" t="inlineStr">
        <is>
          <t>Gender preference</t>
        </is>
      </c>
      <c r="G72" s="18" t="inlineStr">
        <is>
          <t>A patient's request for a clinician of a particular gender, often for cultural, religious or comfort reasons — and effectively hard when it applies to personal care.</t>
        </is>
      </c>
      <c r="H72" s="20" t="inlineStr">
        <is>
          <t>Scheduler — captures and matches</t>
        </is>
      </c>
      <c r="I72" s="20" t="inlineStr">
        <is>
          <t>Scheduler</t>
        </is>
      </c>
      <c r="J72" s="20" t="inlineStr">
        <is>
          <t>HCHB coordination note — free text.</t>
        </is>
      </c>
      <c r="K72" s="21" t="inlineStr">
        <is>
          <t>Medium</t>
        </is>
      </c>
      <c r="L72" s="20" t="inlineStr">
        <is>
          <t>Assist</t>
        </is>
      </c>
      <c r="M72" s="20" t="inlineStr">
        <is>
          <t>Scheduler</t>
        </is>
      </c>
      <c r="N72" s="20" t="inlineStr">
        <is>
          <t>Per episode</t>
        </is>
      </c>
      <c r="O72" s="21" t="inlineStr">
        <is>
          <t>Drifts — needs re-contact</t>
        </is>
      </c>
      <c r="P72" s="20" t="inlineStr">
        <is>
          <t>At start of care</t>
        </is>
      </c>
      <c r="Q72" s="22" t="inlineStr">
        <is>
          <t>No</t>
        </is>
      </c>
      <c r="R72" s="22" t="inlineStr">
        <is>
          <t>N</t>
        </is>
      </c>
      <c r="S72" s="21" t="inlineStr">
        <is>
          <t>Medium</t>
        </is>
      </c>
      <c r="T72" s="18" t="inlineStr">
        <is>
          <t>Sensitive. Surface and confirm rather than auto-matching on it.</t>
        </is>
      </c>
      <c r="U72" s="18" t="inlineStr">
        <is>
          <t>Is there a policy on how this is recorded and honoured?</t>
        </is>
      </c>
    </row>
    <row r="73" ht="76" customHeight="1">
      <c r="A73" s="16" t="inlineStr">
        <is>
          <t>S-24</t>
        </is>
      </c>
      <c r="B73" s="25" t="inlineStr">
        <is>
          <t>Patient Engagement</t>
        </is>
      </c>
      <c r="C73" s="18" t="inlineStr">
        <is>
          <t>Engagement</t>
        </is>
      </c>
      <c r="D73" s="19" t="inlineStr">
        <is>
          <t>Matching</t>
        </is>
      </c>
      <c r="E73" s="23" t="inlineStr">
        <is>
          <t>Differs — the one-pager groups this under Scheduling Engine</t>
        </is>
      </c>
      <c r="F73" s="18" t="inlineStr">
        <is>
          <t>Language and cultural match</t>
        </is>
      </c>
      <c r="G73" s="18" t="inlineStr">
        <is>
          <t>Pairing a patient with a clinician who shares their language where possible. It materially affects teaching visits, where the whole point is that the patient understands.</t>
        </is>
      </c>
      <c r="H73" s="20" t="inlineStr">
        <is>
          <t>Scheduler — matches where they can</t>
        </is>
      </c>
      <c r="I73" s="20" t="inlineStr">
        <is>
          <t>Scheduler; Clinician — raises it when teaching fails</t>
        </is>
      </c>
      <c r="J73" s="20" t="inlineStr">
        <is>
          <t>Languages spoken are not reliably recorded for clinicians; patient language is in HCHB.</t>
        </is>
      </c>
      <c r="K73" s="21" t="inlineStr">
        <is>
          <t>Low</t>
        </is>
      </c>
      <c r="L73" s="20" t="inlineStr">
        <is>
          <t>Assist</t>
        </is>
      </c>
      <c r="M73" s="20" t="inlineStr">
        <is>
          <t>Scheduler</t>
        </is>
      </c>
      <c r="N73" s="20" t="inlineStr">
        <is>
          <t>Per episode</t>
        </is>
      </c>
      <c r="O73" s="21" t="inlineStr">
        <is>
          <t>Drifts — needs re-contact</t>
        </is>
      </c>
      <c r="P73" s="20" t="inlineStr">
        <is>
          <t>At start of care</t>
        </is>
      </c>
      <c r="Q73" s="22" t="inlineStr">
        <is>
          <t>Maybe</t>
        </is>
      </c>
      <c r="R73" s="22" t="inlineStr">
        <is>
          <t>N</t>
        </is>
      </c>
      <c r="S73" s="21" t="inlineStr">
        <is>
          <t>Low</t>
        </is>
      </c>
      <c r="T73" s="18" t="inlineStr">
        <is>
          <t>Capturable on both sides, and worth confirming specifically for teaching-critical visits.</t>
        </is>
      </c>
      <c r="U73" s="18" t="inlineStr">
        <is>
          <t>Do we hold clinician language capability anywhere today?</t>
        </is>
      </c>
    </row>
    <row r="74" ht="76" customHeight="1">
      <c r="A74" s="16" t="inlineStr">
        <is>
          <t>CO-04</t>
        </is>
      </c>
      <c r="B74" s="25" t="inlineStr">
        <is>
          <t>Patient Engagement</t>
        </is>
      </c>
      <c r="C74" s="18" t="inlineStr"/>
      <c r="D74" s="19" t="inlineStr">
        <is>
          <t>Before the visit</t>
        </is>
      </c>
      <c r="E74" s="18" t="inlineStr">
        <is>
          <t>Aligned</t>
        </is>
      </c>
      <c r="F74" s="18" t="inlineStr">
        <is>
          <t>New-patient welcome call</t>
        </is>
      </c>
      <c r="G74"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4" s="20" t="inlineStr">
        <is>
          <t>Scheduler — makes the call</t>
        </is>
      </c>
      <c r="I74" s="20" t="inlineStr">
        <is>
          <t>Scheduler — makes the one true judgment call in the current process</t>
        </is>
      </c>
      <c r="J74" s="20" t="inlineStr">
        <is>
          <t>HCHB — the visit and the coordination note that follows.</t>
        </is>
      </c>
      <c r="K74" s="21" t="inlineStr">
        <is>
          <t>Medium</t>
        </is>
      </c>
      <c r="L74" s="20" t="inlineStr">
        <is>
          <t>Assist</t>
        </is>
      </c>
      <c r="M74" s="20" t="inlineStr">
        <is>
          <t>Scheduler</t>
        </is>
      </c>
      <c r="N74" s="20" t="inlineStr">
        <is>
          <t>Per referral</t>
        </is>
      </c>
      <c r="O74" s="21" t="inlineStr">
        <is>
          <t>This is the contact</t>
        </is>
      </c>
      <c r="P74" s="20" t="inlineStr">
        <is>
          <t>—</t>
        </is>
      </c>
      <c r="Q74" s="22" t="inlineStr">
        <is>
          <t>Maybe</t>
        </is>
      </c>
      <c r="R74" s="22" t="inlineStr">
        <is>
          <t>N</t>
        </is>
      </c>
      <c r="S74" s="21" t="inlineStr">
        <is>
          <t>Medium</t>
        </is>
      </c>
      <c r="T74" s="18" t="inlineStr">
        <is>
          <t>Automate the trigger and the routine parts; keep a person on the line for the judgment. This is the highest-value human call in the admission chain.</t>
        </is>
      </c>
      <c r="U74" s="18" t="inlineStr">
        <is>
          <t>If outreach is automated, how do we preserve the 'is the patient really home' check?</t>
        </is>
      </c>
    </row>
    <row r="75" ht="76" customHeight="1">
      <c r="A75" s="16" t="inlineStr">
        <is>
          <t>CO-06</t>
        </is>
      </c>
      <c r="B75" s="25" t="inlineStr">
        <is>
          <t>Patient Engagement</t>
        </is>
      </c>
      <c r="C75" s="18" t="inlineStr">
        <is>
          <t>Scheduling</t>
        </is>
      </c>
      <c r="D75" s="19" t="inlineStr">
        <is>
          <t>Before the visit</t>
        </is>
      </c>
      <c r="E75" s="18" t="inlineStr">
        <is>
          <t>Aligned</t>
        </is>
      </c>
      <c r="F75" s="18" t="inlineStr">
        <is>
          <t>Confirming availability before booking</t>
        </is>
      </c>
      <c r="G75" s="18" t="inlineStr">
        <is>
          <t>Checking the patient — and where needed the caregiver — can actually make a slot before it is committed. It prevents booking into a window that was always going to fail.</t>
        </is>
      </c>
      <c r="H75" s="20" t="inlineStr">
        <is>
          <t>Scheduler — confirms</t>
        </is>
      </c>
      <c r="I75" s="20" t="inlineStr">
        <is>
          <t>Scheduler</t>
        </is>
      </c>
      <c r="J75" s="20" t="inlineStr">
        <is>
          <t>Not systematically recorded; the confirmation happens in conversation.</t>
        </is>
      </c>
      <c r="K75" s="21" t="inlineStr">
        <is>
          <t>Low</t>
        </is>
      </c>
      <c r="L75" s="20" t="inlineStr">
        <is>
          <t>Surface</t>
        </is>
      </c>
      <c r="M75" s="20" t="inlineStr">
        <is>
          <t>Scheduler</t>
        </is>
      </c>
      <c r="N75" s="20" t="inlineStr">
        <is>
          <t>Per visit at booking</t>
        </is>
      </c>
      <c r="O75" s="21" t="inlineStr">
        <is>
          <t>This is the contact</t>
        </is>
      </c>
      <c r="P75" s="20" t="inlineStr">
        <is>
          <t>—</t>
        </is>
      </c>
      <c r="Q75" s="22" t="inlineStr">
        <is>
          <t>Yes</t>
        </is>
      </c>
      <c r="R75" s="22" t="inlineStr">
        <is>
          <t>Y</t>
        </is>
      </c>
      <c r="S75" s="21" t="inlineStr">
        <is>
          <t>Medium</t>
        </is>
      </c>
      <c r="T75" s="18" t="inlineStr">
        <is>
          <t>Feeds directly off the caregiver-availability rows, which are the least reliable data on the sheet. Surface what is known; do not presume it is current.</t>
        </is>
      </c>
      <c r="U75" s="18" t="inlineStr">
        <is>
          <t>Nothing outstanding — but this row depends on S-28 and S-30 being right.</t>
        </is>
      </c>
    </row>
    <row r="76" ht="76" customHeight="1">
      <c r="A76" s="16" t="inlineStr">
        <is>
          <t>CO-01</t>
        </is>
      </c>
      <c r="B76" s="25" t="inlineStr">
        <is>
          <t>Patient Engagement</t>
        </is>
      </c>
      <c r="C76" s="18" t="inlineStr">
        <is>
          <t>Capacity</t>
        </is>
      </c>
      <c r="D76" s="19" t="inlineStr">
        <is>
          <t>Before the visit</t>
        </is>
      </c>
      <c r="E76" s="18" t="inlineStr">
        <is>
          <t>Aligned</t>
        </is>
      </c>
      <c r="F76" s="18" t="inlineStr">
        <is>
          <t>Day-before confirmation</t>
        </is>
      </c>
      <c r="G76" s="18" t="inlineStr">
        <is>
          <t>The call that confirms tomorrow's visit will actually happen. It is the single biggest reducer of failed visits — and today every clinician does it by hand, for every patient, every day. The system sends nothing.</t>
        </is>
      </c>
      <c r="H76" s="20" t="inlineStr">
        <is>
          <t>Clinician — calls or texts each patient the evening before</t>
        </is>
      </c>
      <c r="I76" s="20" t="inlineStr">
        <is>
          <t>Clinician — and picks the disposition straight afterwards</t>
        </is>
      </c>
      <c r="J76" s="20" t="inlineStr">
        <is>
          <t>The call is not recorded. Its outcome shows up as the disposition selected in HCHB.</t>
        </is>
      </c>
      <c r="K76" s="21" t="inlineStr">
        <is>
          <t>High</t>
        </is>
      </c>
      <c r="L76" s="20" t="inlineStr">
        <is>
          <t>Automate</t>
        </is>
      </c>
      <c r="M76" s="20" t="inlineStr">
        <is>
          <t>Clinician — takes over when the automated round surfaces a problem</t>
        </is>
      </c>
      <c r="N76" s="20" t="inlineStr">
        <is>
          <t>Daily, day before</t>
        </is>
      </c>
      <c r="O76" s="21" t="inlineStr">
        <is>
          <t>This is the contact</t>
        </is>
      </c>
      <c r="P76" s="20" t="inlineStr">
        <is>
          <t>—</t>
        </is>
      </c>
      <c r="Q76" s="22" t="inlineStr">
        <is>
          <t>Yes</t>
        </is>
      </c>
      <c r="R76" s="22" t="inlineStr">
        <is>
          <t>N</t>
        </is>
      </c>
      <c r="S76" s="21" t="inlineStr">
        <is>
          <t>High</t>
        </is>
      </c>
      <c r="T76"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U76" s="18" t="inlineStr">
        <is>
          <t>How do we automate the round without losing what the conversation catches?</t>
        </is>
      </c>
    </row>
    <row r="77" ht="76" customHeight="1">
      <c r="A77" s="16" t="inlineStr">
        <is>
          <t>CO-02</t>
        </is>
      </c>
      <c r="B77" s="25" t="inlineStr">
        <is>
          <t>Patient Engagement</t>
        </is>
      </c>
      <c r="C77" s="18" t="inlineStr"/>
      <c r="D77" s="19" t="inlineStr">
        <is>
          <t>Before the visit</t>
        </is>
      </c>
      <c r="E77" s="18" t="inlineStr">
        <is>
          <t>Aligned</t>
        </is>
      </c>
      <c r="F77" s="18" t="inlineStr">
        <is>
          <t>Automated reminders</t>
        </is>
      </c>
      <c r="G77" s="18" t="inlineStr">
        <is>
          <t>System-sent reminders ahead of a visit. A clean, low-risk automation that reduces no-shows without consuming anyone's time — and one Homecare Homebase does not do today.</t>
        </is>
      </c>
      <c r="H77" s="20" t="inlineStr">
        <is>
          <t>— nobody; this does not happen today</t>
        </is>
      </c>
      <c r="I77" s="20" t="inlineStr">
        <is>
          <t>— no one today; this does not happen</t>
        </is>
      </c>
      <c r="J77" s="20" t="inlineStr">
        <is>
          <t>Does not exist today. Would need an outbound channel.</t>
        </is>
      </c>
      <c r="K77" s="21" t="inlineStr">
        <is>
          <t>High</t>
        </is>
      </c>
      <c r="L77" s="20" t="inlineStr">
        <is>
          <t>Automate</t>
        </is>
      </c>
      <c r="M77" s="20" t="inlineStr">
        <is>
          <t>— exception only</t>
        </is>
      </c>
      <c r="N77" s="20" t="inlineStr">
        <is>
          <t>Per visit</t>
        </is>
      </c>
      <c r="O77" s="21" t="inlineStr">
        <is>
          <t>This is the contact</t>
        </is>
      </c>
      <c r="P77" s="20" t="inlineStr">
        <is>
          <t>—</t>
        </is>
      </c>
      <c r="Q77" s="22" t="inlineStr">
        <is>
          <t>Yes</t>
        </is>
      </c>
      <c r="R77" s="22" t="inlineStr">
        <is>
          <t>Y</t>
        </is>
      </c>
      <c r="S77" s="21" t="inlineStr">
        <is>
          <t>Low</t>
        </is>
      </c>
      <c r="T77" s="18" t="inlineStr">
        <is>
          <t>Deterministic and safe. This is the most obvious quick win in the engagement arena.</t>
        </is>
      </c>
      <c r="U77" s="18" t="inlineStr">
        <is>
          <t>Nothing outstanding.</t>
        </is>
      </c>
    </row>
    <row r="78" ht="76" customHeight="1">
      <c r="A78" s="16" t="inlineStr">
        <is>
          <t>CO-03</t>
        </is>
      </c>
      <c r="B78" s="25" t="inlineStr">
        <is>
          <t>Patient Engagement</t>
        </is>
      </c>
      <c r="C78" s="18" t="inlineStr"/>
      <c r="D78" s="19" t="inlineStr">
        <is>
          <t>Before the visit</t>
        </is>
      </c>
      <c r="E78" s="18" t="inlineStr">
        <is>
          <t>Aligned</t>
        </is>
      </c>
      <c r="F78" s="18" t="inlineStr">
        <is>
          <t>On-my-way notification</t>
        </is>
      </c>
      <c r="G78" s="18" t="inlineStr">
        <is>
          <t>Telling the patient the clinician is roughly twenty minutes out. It is fully derivable from the live route and it materially changes the experience of waiting.</t>
        </is>
      </c>
      <c r="H78" s="20" t="inlineStr">
        <is>
          <t>— nobody; this does not happen today</t>
        </is>
      </c>
      <c r="I78" s="20" t="inlineStr">
        <is>
          <t>— no one today; this does not happen</t>
        </is>
      </c>
      <c r="J78" s="20" t="inlineStr">
        <is>
          <t>Does not exist today. Would derive from route and position.</t>
        </is>
      </c>
      <c r="K78" s="21" t="inlineStr">
        <is>
          <t>High</t>
        </is>
      </c>
      <c r="L78" s="20" t="inlineStr">
        <is>
          <t>Automate</t>
        </is>
      </c>
      <c r="M78" s="20" t="inlineStr">
        <is>
          <t>— exception only</t>
        </is>
      </c>
      <c r="N78" s="20" t="inlineStr">
        <is>
          <t>Per visit</t>
        </is>
      </c>
      <c r="O78" s="21" t="inlineStr">
        <is>
          <t>This is the contact</t>
        </is>
      </c>
      <c r="P78" s="20" t="inlineStr">
        <is>
          <t>—</t>
        </is>
      </c>
      <c r="Q78" s="22" t="inlineStr">
        <is>
          <t>Maybe</t>
        </is>
      </c>
      <c r="R78" s="22" t="inlineStr">
        <is>
          <t>N</t>
        </is>
      </c>
      <c r="S78" s="21" t="inlineStr">
        <is>
          <t>Medium</t>
        </is>
      </c>
      <c r="T78" s="18" t="inlineStr">
        <is>
          <t>Deterministic from position and route. Note it implies clinician location tracking, which is a conversation to have deliberately.</t>
        </is>
      </c>
      <c r="U78" s="18" t="inlineStr">
        <is>
          <t>Are we comfortable with the location tracking this implies, and have clinicians been consulted?</t>
        </is>
      </c>
    </row>
    <row r="79" ht="76" customHeight="1">
      <c r="A79" s="16" t="inlineStr">
        <is>
          <t>CO-05</t>
        </is>
      </c>
      <c r="B79" s="25" t="inlineStr">
        <is>
          <t>Patient Engagement</t>
        </is>
      </c>
      <c r="C79" s="18" t="inlineStr"/>
      <c r="D79" s="19" t="inlineStr">
        <is>
          <t>Before the visit</t>
        </is>
      </c>
      <c r="E79" s="18" t="inlineStr">
        <is>
          <t>Aligned</t>
        </is>
      </c>
      <c r="F79" s="18" t="inlineStr">
        <is>
          <t>Channel and communication preferences</t>
        </is>
      </c>
      <c r="G79" s="18" t="inlineStr">
        <is>
          <t>How each patient wants to be reached — text, call or email — and what they have consented to. It decides whether any of the automation above actually lands.</t>
        </is>
      </c>
      <c r="H79" s="20" t="inlineStr">
        <is>
          <t>Scheduler — captures it when it comes up</t>
        </is>
      </c>
      <c r="I79" s="20" t="inlineStr">
        <is>
          <t>Scheduler</t>
        </is>
      </c>
      <c r="J79" s="20" t="inlineStr">
        <is>
          <t>Phone numbers are in HCHB. Channel preference and consent are not systematically held.</t>
        </is>
      </c>
      <c r="K79" s="21" t="inlineStr">
        <is>
          <t>Low</t>
        </is>
      </c>
      <c r="L79" s="20" t="inlineStr">
        <is>
          <t>Assist</t>
        </is>
      </c>
      <c r="M79" s="20" t="inlineStr">
        <is>
          <t>Scheduler</t>
        </is>
      </c>
      <c r="N79" s="20" t="inlineStr">
        <is>
          <t>Per episode</t>
        </is>
      </c>
      <c r="O79" s="21" t="inlineStr">
        <is>
          <t>Drifts — needs re-contact</t>
        </is>
      </c>
      <c r="P79" s="20" t="inlineStr">
        <is>
          <t>At start of care</t>
        </is>
      </c>
      <c r="Q79" s="22" t="inlineStr">
        <is>
          <t>Maybe</t>
        </is>
      </c>
      <c r="R79" s="22" t="inlineStr">
        <is>
          <t>N</t>
        </is>
      </c>
      <c r="S79" s="21" t="inlineStr">
        <is>
          <t>Low</t>
        </is>
      </c>
      <c r="T79" s="18" t="inlineStr">
        <is>
          <t>Honour it, never assume it. Conflict risk: a vendor with its own communication model may not respect an existing preference store. Consent and opt-out rules also carry regulatory weight.</t>
        </is>
      </c>
      <c r="U79" s="18" t="inlineStr">
        <is>
          <t>Where would channel preference and consent live, and who captures it at admission?</t>
        </is>
      </c>
    </row>
    <row r="80" ht="76" customHeight="1">
      <c r="A80" s="16" t="inlineStr">
        <is>
          <t>S-47</t>
        </is>
      </c>
      <c r="B80" s="25" t="inlineStr">
        <is>
          <t>Patient Engagement</t>
        </is>
      </c>
      <c r="C80" s="18" t="inlineStr">
        <is>
          <t>Scheduling</t>
        </is>
      </c>
      <c r="D80" s="19" t="inlineStr">
        <is>
          <t>Before the visit</t>
        </is>
      </c>
      <c r="E80" s="18" t="inlineStr">
        <is>
          <t>Aligned</t>
        </is>
      </c>
      <c r="F80" s="18" t="inlineStr">
        <is>
          <t>Power of attorney and who can sign</t>
        </is>
      </c>
      <c r="G80"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0" s="20" t="inlineStr">
        <is>
          <t>Intake and Scheduler — capture it if it surfaces</t>
        </is>
      </c>
      <c r="I80" s="20" t="inlineStr">
        <is>
          <t>Scheduler — decides who to contact</t>
        </is>
      </c>
      <c r="J80" s="20" t="inlineStr">
        <is>
          <t>Partly Commure at referral, otherwise manual. Not reliably known before the visit is booked.</t>
        </is>
      </c>
      <c r="K80" s="21" t="inlineStr">
        <is>
          <t>Low</t>
        </is>
      </c>
      <c r="L80" s="20" t="inlineStr">
        <is>
          <t>Assist</t>
        </is>
      </c>
      <c r="M80" s="20" t="inlineStr">
        <is>
          <t>Scheduler — confirms who may be contacted</t>
        </is>
      </c>
      <c r="N80" s="20" t="inlineStr">
        <is>
          <t>Per referral, before booking</t>
        </is>
      </c>
      <c r="O80" s="21" t="inlineStr">
        <is>
          <t>Drifts — needs re-contact</t>
        </is>
      </c>
      <c r="P80" s="20" t="inlineStr">
        <is>
          <t>At referral / welcome call</t>
        </is>
      </c>
      <c r="Q80" s="22" t="inlineStr">
        <is>
          <t>Yes</t>
        </is>
      </c>
      <c r="R80" s="22" t="inlineStr">
        <is>
          <t>Y</t>
        </is>
      </c>
      <c r="S80" s="21" t="inlineStr">
        <is>
          <t>Medium</t>
        </is>
      </c>
      <c r="T80" s="18" t="inlineStr">
        <is>
          <t>Added 19 Aug. The failure it prevents is concrete: a nurse arrives for the start of care, the patient cannot sign, and the power of attorney is two states away. The visit is wasted and the clock keeps running.</t>
        </is>
      </c>
      <c r="U80" s="18" t="inlineStr">
        <is>
          <t>Where would POA status be captured so the scheduler sees it before booking rather than after?</t>
        </is>
      </c>
    </row>
    <row r="81" ht="76" customHeight="1">
      <c r="A81" s="16" t="inlineStr">
        <is>
          <t>CO-13</t>
        </is>
      </c>
      <c r="B81" s="25" t="inlineStr">
        <is>
          <t>Patient Engagement</t>
        </is>
      </c>
      <c r="C81" s="18" t="inlineStr"/>
      <c r="D81" s="19" t="inlineStr">
        <is>
          <t>Before the visit</t>
        </is>
      </c>
      <c r="E81" s="18" t="inlineStr">
        <is>
          <t>Aligned</t>
        </is>
      </c>
      <c r="F81" s="18" t="inlineStr">
        <is>
          <t>A verified number for the right person</t>
        </is>
      </c>
      <c r="G81"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1" s="20" t="inlineStr">
        <is>
          <t>Intake and Scheduler — capture what they are given</t>
        </is>
      </c>
      <c r="I81" s="20" t="inlineStr">
        <is>
          <t>Scheduler — works out who to call</t>
        </is>
      </c>
      <c r="J81" s="20" t="inlineStr">
        <is>
          <t>Partly HCHB, partly Commure, partly neither. There is no single verified record.</t>
        </is>
      </c>
      <c r="K81" s="21" t="inlineStr">
        <is>
          <t>Low</t>
        </is>
      </c>
      <c r="L81" s="20" t="inlineStr">
        <is>
          <t>Automate</t>
        </is>
      </c>
      <c r="M81" s="20" t="inlineStr">
        <is>
          <t>Scheduler — owns the exception when nobody answers</t>
        </is>
      </c>
      <c r="N81" s="20" t="inlineStr">
        <is>
          <t>Per referral, verified at admission</t>
        </is>
      </c>
      <c r="O81" s="21" t="inlineStr">
        <is>
          <t>Drifts — needs re-contact</t>
        </is>
      </c>
      <c r="P81" s="20" t="inlineStr">
        <is>
          <t>At referral / welcome call</t>
        </is>
      </c>
      <c r="Q81" s="22" t="inlineStr">
        <is>
          <t>Yes</t>
        </is>
      </c>
      <c r="R81" s="22" t="inlineStr">
        <is>
          <t>Y</t>
        </is>
      </c>
      <c r="S81" s="21" t="inlineStr">
        <is>
          <t>Low</t>
        </is>
      </c>
      <c r="T81" s="18" t="inlineStr">
        <is>
          <t>Added 19 Aug, and distinct from channel preference: a preference is no use without a working number for the right party. The failure it names is reminders going to a disconnected mobile while the daughter who books every visit is never contacted.</t>
        </is>
      </c>
      <c r="U81" s="18" t="inlineStr">
        <is>
          <t>Who verifies the number, and at what point in admission?</t>
        </is>
      </c>
    </row>
    <row r="82" ht="76" customHeight="1">
      <c r="A82" s="16" t="inlineStr">
        <is>
          <t>CO-14</t>
        </is>
      </c>
      <c r="B82" s="25" t="inlineStr">
        <is>
          <t>Patient Engagement</t>
        </is>
      </c>
      <c r="C82" s="18" t="inlineStr"/>
      <c r="D82" s="19" t="inlineStr">
        <is>
          <t>Before the visit</t>
        </is>
      </c>
      <c r="E82" s="18" t="inlineStr">
        <is>
          <t>Aligned</t>
        </is>
      </c>
      <c r="F82" s="18" t="inlineStr">
        <is>
          <t>Consent to contact, by channel</t>
        </is>
      </c>
      <c r="G82" s="18" t="inlineStr">
        <is>
          <t>Which channels we are legally allowed to use — texting, and sharing information with family — and whether the consent has actually been signed. A legal gate rather than a preference.</t>
        </is>
      </c>
      <c r="H82" s="20" t="inlineStr">
        <is>
          <t>Clinician — obtains consent at the start-of-care visit</t>
        </is>
      </c>
      <c r="I82" s="20" t="inlineStr">
        <is>
          <t>— enforced by rule, not decided by anyone</t>
        </is>
      </c>
      <c r="J82" s="20" t="inlineStr">
        <is>
          <t>HCHB, once signed at admission.</t>
        </is>
      </c>
      <c r="K82" s="21" t="inlineStr">
        <is>
          <t>Medium</t>
        </is>
      </c>
      <c r="L82" s="20" t="inlineStr">
        <is>
          <t>Automate</t>
        </is>
      </c>
      <c r="M82" s="20" t="inlineStr">
        <is>
          <t>— exception only</t>
        </is>
      </c>
      <c r="N82" s="20" t="inlineStr">
        <is>
          <t>Per episode, signed at the start of care</t>
        </is>
      </c>
      <c r="O82" s="21" t="inlineStr">
        <is>
          <t>Stable</t>
        </is>
      </c>
      <c r="P82" s="20" t="inlineStr">
        <is>
          <t>—</t>
        </is>
      </c>
      <c r="Q82" s="22" t="inlineStr">
        <is>
          <t>Yes</t>
        </is>
      </c>
      <c r="R82" s="22" t="inlineStr">
        <is>
          <t>Y</t>
        </is>
      </c>
      <c r="S82" s="21" t="inlineStr">
        <is>
          <t>Low</t>
        </is>
      </c>
      <c r="T82" s="18" t="inlineStr">
        <is>
          <t>Added 19 Aug, and it puts a hard boundary on the automation the one-pager promises: consents are signed at the start-of-care visit, so no automated texting can precede admission and the readiness call before that first visit is necessarily a voice call.</t>
        </is>
      </c>
      <c r="U82" s="18" t="inlineStr">
        <is>
          <t>Does this change what we can promise vendors about pre-admission outreach?</t>
        </is>
      </c>
    </row>
    <row r="83" ht="76" customHeight="1">
      <c r="A83" s="16" t="inlineStr">
        <is>
          <t>CO-07</t>
        </is>
      </c>
      <c r="B83" s="25" t="inlineStr">
        <is>
          <t>Patient Engagement</t>
        </is>
      </c>
      <c r="C83" s="18" t="inlineStr">
        <is>
          <t>Scheduling</t>
        </is>
      </c>
      <c r="D83" s="19" t="inlineStr">
        <is>
          <t>When plans change</t>
        </is>
      </c>
      <c r="E83" s="18" t="inlineStr">
        <is>
          <t>Aligned</t>
        </is>
      </c>
      <c r="F83" s="18" t="inlineStr">
        <is>
          <t>Rescheduling with the patient</t>
        </is>
      </c>
      <c r="G83" s="18" t="inlineStr">
        <is>
          <t>Negotiating a new time when the planned one stops working. A system can propose slots; the negotiation itself is a conversation between people.</t>
        </is>
      </c>
      <c r="H83" s="20" t="inlineStr">
        <is>
          <t>Clinician — for their own visits; Scheduler — when it comes back to the office</t>
        </is>
      </c>
      <c r="I83" s="20" t="inlineStr">
        <is>
          <t>Clinician or Scheduler, depending on who holds it</t>
        </is>
      </c>
      <c r="J83" s="20" t="inlineStr">
        <is>
          <t>The outcome lands in HCHB as a rescheduled visit; the negotiation is not recorded.</t>
        </is>
      </c>
      <c r="K83" s="21" t="inlineStr">
        <is>
          <t>Medium</t>
        </is>
      </c>
      <c r="L83" s="20" t="inlineStr">
        <is>
          <t>Surface</t>
        </is>
      </c>
      <c r="M83" s="20" t="inlineStr">
        <is>
          <t>Clinician / Scheduler</t>
        </is>
      </c>
      <c r="N83" s="20" t="inlineStr">
        <is>
          <t>On event</t>
        </is>
      </c>
      <c r="O83" s="21" t="inlineStr">
        <is>
          <t>This is the contact</t>
        </is>
      </c>
      <c r="P83" s="20" t="inlineStr">
        <is>
          <t>—</t>
        </is>
      </c>
      <c r="Q83" s="22" t="inlineStr">
        <is>
          <t>Maybe</t>
        </is>
      </c>
      <c r="R83" s="22" t="inlineStr">
        <is>
          <t>N</t>
        </is>
      </c>
      <c r="S83" s="21" t="inlineStr">
        <is>
          <t>Medium</t>
        </is>
      </c>
      <c r="T83" s="18" t="inlineStr">
        <is>
          <t>Human negotiation around a moving constraint. Note that when rapid reschedule is switched on, a clinician moving their own visit inside the week creates no office work at all — so the volume the office sees is a branch configuration choice, not a fact.</t>
        </is>
      </c>
      <c r="U83" s="18" t="inlineStr">
        <is>
          <t>Which branches have rapid reschedule enabled? It changes what the office actually sees.</t>
        </is>
      </c>
    </row>
    <row r="84" ht="76" customHeight="1">
      <c r="A84" s="16" t="inlineStr">
        <is>
          <t>CO-08</t>
        </is>
      </c>
      <c r="B84" s="25" t="inlineStr">
        <is>
          <t>Patient Engagement</t>
        </is>
      </c>
      <c r="C84" s="18" t="inlineStr">
        <is>
          <t>Scheduling</t>
        </is>
      </c>
      <c r="D84" s="19" t="inlineStr">
        <is>
          <t>When plans change</t>
        </is>
      </c>
      <c r="E84" s="18" t="inlineStr">
        <is>
          <t>Aligned</t>
        </is>
      </c>
      <c r="F84" s="18" t="inlineStr">
        <is>
          <t>Following up a failed or no-show visit</t>
        </is>
      </c>
      <c r="G84" s="18" t="inlineStr">
        <is>
          <t>Chasing the visit that did not happen — reaching the patient, rebooking, documenting. Left alone these become both a compliance problem and lost revenue.</t>
        </is>
      </c>
      <c r="H84" s="20" t="inlineStr">
        <is>
          <t>Scheduler — follows up and rebooks</t>
        </is>
      </c>
      <c r="I84" s="20" t="inlineStr">
        <is>
          <t>Scheduler; DCS — when it will not resolve</t>
        </is>
      </c>
      <c r="J84" s="20" t="inlineStr">
        <is>
          <t>HCHB — visit status and missed-visit workflow.</t>
        </is>
      </c>
      <c r="K84" s="21" t="inlineStr">
        <is>
          <t>Medium</t>
        </is>
      </c>
      <c r="L84" s="20" t="inlineStr">
        <is>
          <t>Assist</t>
        </is>
      </c>
      <c r="M84" s="20" t="inlineStr">
        <is>
          <t>Scheduler</t>
        </is>
      </c>
      <c r="N84" s="20" t="inlineStr">
        <is>
          <t>On event</t>
        </is>
      </c>
      <c r="O84" s="21" t="inlineStr">
        <is>
          <t>This is the contact</t>
        </is>
      </c>
      <c r="P84" s="20" t="inlineStr">
        <is>
          <t>—</t>
        </is>
      </c>
      <c r="Q84" s="22" t="inlineStr">
        <is>
          <t>Yes</t>
        </is>
      </c>
      <c r="R84" s="22" t="inlineStr">
        <is>
          <t>Y</t>
        </is>
      </c>
      <c r="S84" s="21" t="inlineStr">
        <is>
          <t>Low</t>
        </is>
      </c>
      <c r="T84" s="18" t="inlineStr">
        <is>
          <t>Detection is clean; the recovery pulls in every soft constraint again.</t>
        </is>
      </c>
      <c r="U84" s="18" t="inlineStr">
        <is>
          <t>Nothing outstanding.</t>
        </is>
      </c>
    </row>
    <row r="85" ht="76" customHeight="1">
      <c r="A85" s="16" t="inlineStr">
        <is>
          <t>CO-09</t>
        </is>
      </c>
      <c r="B85" s="25" t="inlineStr">
        <is>
          <t>Patient Engagement</t>
        </is>
      </c>
      <c r="C85" s="18" t="inlineStr">
        <is>
          <t>Capacity, Scheduling</t>
        </is>
      </c>
      <c r="D85" s="19" t="inlineStr">
        <is>
          <t>When plans change</t>
        </is>
      </c>
      <c r="E85" s="23" t="inlineStr">
        <is>
          <t>Ruled 25 Aug — moved to Patient Engagement. The 8.19 workbook still has it under Scheduling Engine; write this back to the workbook</t>
        </is>
      </c>
      <c r="F85" s="18" t="inlineStr">
        <is>
          <t>Finding coverage when someone calls out</t>
        </is>
      </c>
      <c r="G85" s="18" t="inlineStr">
        <is>
          <t>The scramble when a clinician is out. It is owned jointly by the DCS and the scheduler, and it runs on who will actually say yes — calls, texts and Teams messages to full-time and per-diem staff, then reassignment or moving the visit to another day.</t>
        </is>
      </c>
      <c r="H85" s="20" t="inlineStr">
        <is>
          <t>DCS and Scheduler — jointly</t>
        </is>
      </c>
      <c r="I85" s="20" t="inlineStr">
        <is>
          <t>DCS and Scheduler — jointly; DCS escalates for a start of care</t>
        </is>
      </c>
      <c r="J85" s="20" t="inlineStr">
        <is>
          <t>No system holds this. It runs on phone, text and Teams, against the scheduler's knowledge of who might take it.</t>
        </is>
      </c>
      <c r="K85" s="21" t="inlineStr">
        <is>
          <t>Low</t>
        </is>
      </c>
      <c r="L85" s="20" t="inlineStr">
        <is>
          <t>Surface</t>
        </is>
      </c>
      <c r="M85" s="20" t="inlineStr">
        <is>
          <t>DCS and Scheduler — jointly</t>
        </is>
      </c>
      <c r="N85" s="20" t="inlineStr">
        <is>
          <t>On event</t>
        </is>
      </c>
      <c r="O85" s="21" t="inlineStr">
        <is>
          <t>This is the contact</t>
        </is>
      </c>
      <c r="P85" s="20" t="inlineStr">
        <is>
          <t>—</t>
        </is>
      </c>
      <c r="Q85" s="22" t="inlineStr">
        <is>
          <t>Yes</t>
        </is>
      </c>
      <c r="R85" s="22" t="inlineStr">
        <is>
          <t>Y</t>
        </is>
      </c>
      <c r="S85" s="21" t="inlineStr">
        <is>
          <t>High</t>
        </is>
      </c>
      <c r="T85" s="18" t="inlineStr">
        <is>
          <t>Runs on the same relational willingness as the per-diem and elasticity rows. A system can assemble the candidate list and reach people directly; it cannot decide who will say yes. This is where an incentive on a hard-to-fill visit would attach.</t>
        </is>
      </c>
      <c r="U85" s="18" t="inlineStr">
        <is>
          <t>Would we let the system contact clinicians directly with an open visit, or must a person always make the ask?</t>
        </is>
      </c>
    </row>
    <row r="86" ht="76" customHeight="1">
      <c r="A86" s="16" t="inlineStr">
        <is>
          <t>gap</t>
        </is>
      </c>
      <c r="B86" s="25" t="inlineStr">
        <is>
          <t>Patient Engagement</t>
        </is>
      </c>
      <c r="C86" s="18" t="inlineStr">
        <is>
          <t>Capacity</t>
        </is>
      </c>
      <c r="D86" s="19" t="inlineStr">
        <is>
          <t>When plans change</t>
        </is>
      </c>
      <c r="E86" s="18" t="inlineStr">
        <is>
          <t>Aligned</t>
        </is>
      </c>
      <c r="F86" s="18" t="inlineStr">
        <is>
          <t>Incentives and offers on hard-to-fill visits</t>
        </is>
      </c>
      <c r="G86" s="18" t="inlineStr">
        <is>
          <t>Surfacing a difficult visit to the clinicians who could take it, with whatever incentive or differential is attached. The one-pager now asks vendors about this and the questionnaire scores it — but no variable in the inventory covers it.</t>
        </is>
      </c>
      <c r="H86" s="20" t="inlineStr">
        <is>
          <t>— does not exist today</t>
        </is>
      </c>
      <c r="I86" s="20" t="inlineStr">
        <is>
          <t>— no one today; does not exist</t>
        </is>
      </c>
      <c r="J86" s="20" t="inlineStr">
        <is>
          <t>Nothing today. Pay model is in Workday; there is no mechanism for a visit-level offer.</t>
        </is>
      </c>
      <c r="K86" s="21" t="inlineStr">
        <is>
          <t>High</t>
        </is>
      </c>
      <c r="L86" s="20" t="inlineStr">
        <is>
          <t>Assist</t>
        </is>
      </c>
      <c r="M86" s="20" t="inlineStr">
        <is>
          <t>Branch Leadership (ED) — would own the spend</t>
        </is>
      </c>
      <c r="N86" s="20" t="inlineStr">
        <is>
          <t>On event</t>
        </is>
      </c>
      <c r="O86" s="21" t="inlineStr">
        <is>
          <t>Drifts — needs re-contact</t>
        </is>
      </c>
      <c r="P86" s="20" t="inlineStr">
        <is>
          <t>On event — coverage and surge</t>
        </is>
      </c>
      <c r="Q86" s="22" t="inlineStr">
        <is>
          <t>--</t>
        </is>
      </c>
      <c r="R86" s="22" t="inlineStr">
        <is>
          <t>N</t>
        </is>
      </c>
      <c r="S86" s="21" t="inlineStr">
        <is>
          <t>High</t>
        </is>
      </c>
      <c r="T86" s="18" t="inlineStr">
        <is>
          <t>A genuine gap, not an oversight: this was added to the vendor ask on 21 Aug and the 19 Aug inventory predates it. Recorded here so the workbook and the questionnaire stay aligned. Next free IDs after 19 Aug are SH-10, C-15, S-51 and CO-15.</t>
        </is>
      </c>
      <c r="U86" s="18" t="inlineStr">
        <is>
          <t>Do we add this to the variable inventory as a new ID? It is currently asked of vendors but not modelled by us.</t>
        </is>
      </c>
    </row>
    <row r="87" ht="76" customHeight="1">
      <c r="A87" s="16" t="inlineStr">
        <is>
          <t>CO-10</t>
        </is>
      </c>
      <c r="B87" s="25" t="inlineStr">
        <is>
          <t>Patient Engagement</t>
        </is>
      </c>
      <c r="C87" s="18" t="inlineStr">
        <is>
          <t>Scheduling</t>
        </is>
      </c>
      <c r="D87" s="19" t="inlineStr">
        <is>
          <t>Across the care team</t>
        </is>
      </c>
      <c r="E87" s="23" t="inlineStr">
        <is>
          <t>Ruled 25 Aug — moved to Patient Engagement. The 8.19 workbook still has it under Scheduling Engine; write this back to the workbook</t>
        </is>
      </c>
      <c r="F87" s="18" t="inlineStr">
        <is>
          <t>Coordinating visits across disciplines</t>
        </is>
      </c>
      <c r="G87" s="18" t="inlineStr">
        <is>
          <t>Spacing the nurse, the therapist and the aide sensibly across a week rather than stacking two on one day and leaving the patient idle the next.</t>
        </is>
      </c>
      <c r="H87" s="20" t="inlineStr">
        <is>
          <t>Scheduler — spaces them; Clinician — adjusts</t>
        </is>
      </c>
      <c r="I87" s="20" t="inlineStr">
        <is>
          <t>Scheduler</t>
        </is>
      </c>
      <c r="J87" s="20" t="inlineStr">
        <is>
          <t>HCHB holds the visits; the spacing judgment is manual.</t>
        </is>
      </c>
      <c r="K87" s="21" t="inlineStr">
        <is>
          <t>Medium</t>
        </is>
      </c>
      <c r="L87" s="20" t="inlineStr">
        <is>
          <t>Assist</t>
        </is>
      </c>
      <c r="M87" s="20" t="inlineStr">
        <is>
          <t>Scheduler</t>
        </is>
      </c>
      <c r="N87" s="20" t="inlineStr">
        <is>
          <t>Weekly per patient</t>
        </is>
      </c>
      <c r="O87" s="21" t="inlineStr">
        <is>
          <t>This is the contact</t>
        </is>
      </c>
      <c r="P87" s="20" t="inlineStr">
        <is>
          <t>—</t>
        </is>
      </c>
      <c r="Q87" s="22" t="inlineStr">
        <is>
          <t>Maybe</t>
        </is>
      </c>
      <c r="R87" s="22" t="inlineStr">
        <is>
          <t>N</t>
        </is>
      </c>
      <c r="S87" s="21" t="inlineStr">
        <is>
          <t>Low</t>
        </is>
      </c>
      <c r="T87" s="18" t="inlineStr">
        <is>
          <t>Rule-informed but bounded by what a patient will tolerate in a week. Propose, do not dictate.</t>
        </is>
      </c>
      <c r="U87" s="18" t="inlineStr">
        <is>
          <t>Is there a standard on how many visits a patient should have in one day?</t>
        </is>
      </c>
    </row>
    <row r="88" ht="76" customHeight="1">
      <c r="A88" s="16" t="inlineStr">
        <is>
          <t>CO-11</t>
        </is>
      </c>
      <c r="B88" s="25" t="inlineStr">
        <is>
          <t>Patient Engagement</t>
        </is>
      </c>
      <c r="C88" s="18" t="inlineStr">
        <is>
          <t>Scheduling</t>
        </is>
      </c>
      <c r="D88" s="19" t="inlineStr">
        <is>
          <t>Across the care team</t>
        </is>
      </c>
      <c r="E88" s="23" t="inlineStr">
        <is>
          <t>Ruled 25 Aug — moved to Patient Engagement. The 8.19 workbook still has it under Scheduling Engine; write this back to the workbook</t>
        </is>
      </c>
      <c r="F88" s="18" t="inlineStr">
        <is>
          <t>Keeping the team and the office in step</t>
        </is>
      </c>
      <c r="G88" s="18" t="inlineStr">
        <is>
          <t>The connective work of telling the case manager and the office when something changes. Today it is the coordination-note habit — and how well it works depends entirely on people remembering.</t>
        </is>
      </c>
      <c r="H88" s="20" t="inlineStr">
        <is>
          <t>Scheduler and Clinician — write the notes</t>
        </is>
      </c>
      <c r="I88" s="20" t="inlineStr">
        <is>
          <t>Case Manager / Clinical Manager — act on what they read</t>
        </is>
      </c>
      <c r="J88" s="20" t="inlineStr">
        <is>
          <t>HCHB coordination notes.</t>
        </is>
      </c>
      <c r="K88" s="21" t="inlineStr">
        <is>
          <t>Medium</t>
        </is>
      </c>
      <c r="L88" s="20" t="inlineStr">
        <is>
          <t>Assist</t>
        </is>
      </c>
      <c r="M88" s="20" t="inlineStr">
        <is>
          <t>Clinical Manager</t>
        </is>
      </c>
      <c r="N88" s="20" t="inlineStr">
        <is>
          <t>Continuous</t>
        </is>
      </c>
      <c r="O88" s="21" t="inlineStr">
        <is>
          <t>This is the contact</t>
        </is>
      </c>
      <c r="P88" s="20" t="inlineStr">
        <is>
          <t>—</t>
        </is>
      </c>
      <c r="Q88" s="22" t="inlineStr">
        <is>
          <t>Maybe</t>
        </is>
      </c>
      <c r="R88" s="22" t="inlineStr">
        <is>
          <t>N</t>
        </is>
      </c>
      <c r="S88" s="21" t="inlineStr">
        <is>
          <t>Low</t>
        </is>
      </c>
      <c r="T88" s="18" t="inlineStr">
        <is>
          <t>Logging and notifying is automatable; deciding what deserves an escalation is human judgment.</t>
        </is>
      </c>
      <c r="U88" s="18" t="inlineStr">
        <is>
          <t>Nothing outstanding.</t>
        </is>
      </c>
    </row>
    <row r="89" ht="76" customHeight="1">
      <c r="A89" s="16" t="inlineStr">
        <is>
          <t>CO-12</t>
        </is>
      </c>
      <c r="B89" s="25" t="inlineStr">
        <is>
          <t>Patient Engagement</t>
        </is>
      </c>
      <c r="C89" s="18" t="inlineStr">
        <is>
          <t>Capacity, Scheduling</t>
        </is>
      </c>
      <c r="D89" s="19" t="inlineStr">
        <is>
          <t>Across the care team</t>
        </is>
      </c>
      <c r="E89" s="23" t="inlineStr">
        <is>
          <t>Ruled 25 Aug — moved to Patient Engagement. The 8.19 workbook still has it under Scheduling Engine; write this back to the workbook</t>
        </is>
      </c>
      <c r="F89" s="18" t="inlineStr">
        <is>
          <t>What coordination actually costs</t>
        </is>
      </c>
      <c r="G89" s="18" t="inlineStr">
        <is>
          <t>The time clinicians and schedulers spend on coordination rather than care. It is capacity, and today it is invisible — roughly forty-five minutes a day per clinician by one estimate, which is a visit.</t>
        </is>
      </c>
      <c r="H89" s="20" t="inlineStr">
        <is>
          <t>Everyone — it is spread across every role</t>
        </is>
      </c>
      <c r="I89" s="20" t="inlineStr">
        <is>
          <t>— no one measures it today</t>
        </is>
      </c>
      <c r="J89" s="20" t="inlineStr">
        <is>
          <t>Not measured anywhere.</t>
        </is>
      </c>
      <c r="K89" s="21" t="inlineStr">
        <is>
          <t>Low</t>
        </is>
      </c>
      <c r="L89" s="20" t="inlineStr">
        <is>
          <t>Surface</t>
        </is>
      </c>
      <c r="M89" s="20" t="inlineStr">
        <is>
          <t>Clinical Manager / Branch Leadership — to act on the trend</t>
        </is>
      </c>
      <c r="N89" s="20" t="inlineStr">
        <is>
          <t>Continuous</t>
        </is>
      </c>
      <c r="O89" s="21" t="inlineStr">
        <is>
          <t>Live / computed</t>
        </is>
      </c>
      <c r="P89" s="20" t="inlineStr">
        <is>
          <t>—</t>
        </is>
      </c>
      <c r="Q89" s="22" t="inlineStr">
        <is>
          <t>Maybe</t>
        </is>
      </c>
      <c r="R89" s="22" t="inlineStr">
        <is>
          <t>N</t>
        </is>
      </c>
      <c r="S89" s="21" t="inlineStr">
        <is>
          <t>Low</t>
        </is>
      </c>
      <c r="T89" s="18" t="inlineStr">
        <is>
          <t>Measure and surface it; do not try to control the people doing it. This is the number that turns the business case from theory into a figure the branch recognises.</t>
        </is>
      </c>
      <c r="U89" s="18" t="inlineStr">
        <is>
          <t>Is there an appetite to measure this directly, or should it be estimated from the automation we remove?</t>
        </is>
      </c>
    </row>
  </sheetData>
  <autoFilter ref="A1:U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S2:S89">
    <cfRule type="expression" priority="4" dxfId="2" stopIfTrue="0">
      <formula>$S2="High"</formula>
    </cfRule>
    <cfRule type="expression" priority="5" dxfId="1" stopIfTrue="0">
      <formula>$S2="Medium"</formula>
    </cfRule>
    <cfRule type="expression" priority="6" dxfId="0" stopIfTrue="0">
      <formula>$S2="Low"</formula>
    </cfRule>
  </conditionalFormatting>
  <dataValidations count="9">
    <dataValidation sqref="B2:B89" showDropDown="0" showInputMessage="0" showErrorMessage="0" allowBlank="1" type="list">
      <formula1>Lists!$A$2:$A$4</formula1>
    </dataValidation>
    <dataValidation sqref="K2:K89" showDropDown="0" showInputMessage="0" showErrorMessage="0" allowBlank="1" type="list">
      <formula1>Lists!$B$2:$B$4</formula1>
    </dataValidation>
    <dataValidation sqref="L2:L89" showDropDown="0" showInputMessage="0" showErrorMessage="0" allowBlank="1" type="list">
      <formula1>Lists!$C$2:$C$5</formula1>
    </dataValidation>
    <dataValidation sqref="S2:S89" showDropDown="0" showInputMessage="0" showErrorMessage="0" allowBlank="1" type="list">
      <formula1>Lists!$D$2:$D$4</formula1>
    </dataValidation>
    <dataValidation sqref="Q2:Q89" showDropDown="0" showInputMessage="0" showErrorMessage="0" allowBlank="1" type="list">
      <formula1>Lists!$E$2:$E$5</formula1>
    </dataValidation>
    <dataValidation sqref="R2:R89" showDropDown="0" showInputMessage="0" showErrorMessage="0" allowBlank="1" type="list">
      <formula1>Lists!$F$2:$F$3</formula1>
    </dataValidation>
    <dataValidation sqref="N2:N89" showDropDown="0" showInputMessage="0" showErrorMessage="0" allowBlank="1" type="list">
      <formula1>Lists!$G$2:$G$13</formula1>
    </dataValidation>
    <dataValidation sqref="O2:O89" showDropDown="0" showInputMessage="0" showErrorMessage="0" allowBlank="1" type="list">
      <formula1>Lists!$I$2:$I$5</formula1>
    </dataValidation>
    <dataValidation sqref="P2:P89" showDropDown="0" showInputMessage="0" showErrorMessage="0" allowBlank="1" type="list">
      <formula1>Lists!$J$2:$J$9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c r="I1" s="26" t="inlineStr">
        <is>
          <t>Stays true on its own?</t>
        </is>
      </c>
      <c r="J1" s="26" t="inlineStr">
        <is>
          <t>Re-checked when</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c r="I2" s="27" t="inlineStr">
        <is>
          <t>Stable</t>
        </is>
      </c>
      <c r="J2" s="27" t="inlineStr">
        <is>
          <t>At referral / welcome call</t>
        </is>
      </c>
    </row>
    <row r="3">
      <c r="A3" s="27" t="inlineStr">
        <is>
          <t>Scheduling Engine</t>
        </is>
      </c>
      <c r="B3" s="27" t="inlineStr">
        <is>
          <t>Medium</t>
        </is>
      </c>
      <c r="C3" s="27" t="inlineStr">
        <is>
          <t>Assist</t>
        </is>
      </c>
      <c r="D3" s="27" t="inlineStr">
        <is>
          <t>Medium</t>
        </is>
      </c>
      <c r="E3" s="27" t="inlineStr">
        <is>
          <t>Maybe</t>
        </is>
      </c>
      <c r="F3" s="27" t="inlineStr">
        <is>
          <t>N</t>
        </is>
      </c>
      <c r="G3" s="27" t="inlineStr">
        <is>
          <t>Per episode</t>
        </is>
      </c>
      <c r="H3" s="27" t="inlineStr">
        <is>
          <t>Auth team</t>
        </is>
      </c>
      <c r="I3" s="27" t="inlineStr">
        <is>
          <t>Drifts — needs re-contact</t>
        </is>
      </c>
      <c r="J3" s="27" t="inlineStr">
        <is>
          <t>At start of care</t>
        </is>
      </c>
    </row>
    <row r="4">
      <c r="A4" s="27" t="inlineStr">
        <is>
          <t>Patient Engagement</t>
        </is>
      </c>
      <c r="B4" s="27" t="inlineStr">
        <is>
          <t>Low</t>
        </is>
      </c>
      <c r="C4" s="27" t="inlineStr">
        <is>
          <t>Surface</t>
        </is>
      </c>
      <c r="D4" s="27" t="inlineStr">
        <is>
          <t>Low</t>
        </is>
      </c>
      <c r="E4" s="27" t="inlineStr">
        <is>
          <t>No</t>
        </is>
      </c>
      <c r="G4" s="27" t="inlineStr">
        <is>
          <t>Per visit</t>
        </is>
      </c>
      <c r="H4" s="27" t="inlineStr">
        <is>
          <t>Scheduler</t>
        </is>
      </c>
      <c r="I4" s="27" t="inlineStr">
        <is>
          <t>Live / computed</t>
        </is>
      </c>
      <c r="J4" s="27" t="inlineStr">
        <is>
          <t>Weekly — when the week is built</t>
        </is>
      </c>
    </row>
    <row r="5">
      <c r="C5" s="27" t="inlineStr">
        <is>
          <t>Stays manual</t>
        </is>
      </c>
      <c r="E5" s="27" t="inlineStr">
        <is>
          <t>--</t>
        </is>
      </c>
      <c r="G5" s="27" t="inlineStr">
        <is>
          <t>Daily</t>
        </is>
      </c>
      <c r="H5" s="27" t="inlineStr">
        <is>
          <t>DCS</t>
        </is>
      </c>
      <c r="I5" s="27" t="inlineStr">
        <is>
          <t>This is the contact</t>
        </is>
      </c>
      <c r="J5" s="27" t="inlineStr">
        <is>
          <t>Day before — the confirmation round</t>
        </is>
      </c>
    </row>
    <row r="6">
      <c r="G6" s="27" t="inlineStr">
        <is>
          <t>Day before the visit</t>
        </is>
      </c>
      <c r="H6" s="27" t="inlineStr">
        <is>
          <t>Clinician</t>
        </is>
      </c>
      <c r="J6" s="27" t="inlineStr">
        <is>
          <t>At recertification</t>
        </is>
      </c>
    </row>
    <row r="7">
      <c r="G7" s="27" t="inlineStr">
        <is>
          <t>Weekly</t>
        </is>
      </c>
      <c r="H7" s="27" t="inlineStr">
        <is>
          <t>Clinical Manager</t>
        </is>
      </c>
      <c r="J7" s="27" t="inlineStr">
        <is>
          <t>On event — coverage and surge</t>
        </is>
      </c>
    </row>
    <row r="8">
      <c r="G8" s="27" t="inlineStr">
        <is>
          <t>Quarterly</t>
        </is>
      </c>
      <c r="H8" s="27" t="inlineStr">
        <is>
          <t>Branch Leadership (ED)</t>
        </is>
      </c>
      <c r="J8" s="27" t="inlineStr">
        <is>
          <t>Not re-checked today</t>
        </is>
      </c>
    </row>
    <row r="9">
      <c r="G9" s="27" t="inlineStr">
        <is>
          <t>On event</t>
        </is>
      </c>
      <c r="H9" s="27" t="inlineStr">
        <is>
          <t>Per Diem / Float</t>
        </is>
      </c>
      <c r="J9" s="27" t="inlineStr">
        <is>
          <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2026-08-25T15:50:57Z</dcterms:created>
  <dcterms:modified xsi:type="dcterms:W3CDTF">2026-08-25T15:50:57Z</dcterms:modified>
</cp:coreProperties>
</file>